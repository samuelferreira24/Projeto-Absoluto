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Categorias" sheetId="1" state="hidden" r:id="rId3"/>
    <sheet name="Lançamentos" sheetId="2" state="visible" r:id="rId4"/>
    <sheet name="Pain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<sst xmlns="http://schemas.openxmlformats.org/spreadsheetml/2006/main" count="534" uniqueCount="186">
  <si>
    <t xml:space="preserve">Categoria</t>
  </si>
  <si>
    <t xml:space="preserve">Tipo</t>
  </si>
  <si>
    <t xml:space="preserve">Particulares</t>
  </si>
  <si>
    <t xml:space="preserve">Receita</t>
  </si>
  <si>
    <t xml:space="preserve">0. Custos Diretos</t>
  </si>
  <si>
    <t xml:space="preserve">Despesa</t>
  </si>
  <si>
    <t xml:space="preserve">1. Administrativa</t>
  </si>
  <si>
    <t xml:space="preserve">2.Financeira</t>
  </si>
  <si>
    <t xml:space="preserve">3.Ocupação</t>
  </si>
  <si>
    <t xml:space="preserve">4.Despesas com Marketing</t>
  </si>
  <si>
    <t xml:space="preserve">5.Despesa com Utilidades</t>
  </si>
  <si>
    <t xml:space="preserve">6.Despesa com Pessoal</t>
  </si>
  <si>
    <t xml:space="preserve">7.Despesas Comerciais</t>
  </si>
  <si>
    <t xml:space="preserve">9. Administração Pinheiro</t>
  </si>
  <si>
    <t xml:space="preserve">10.Tributos</t>
  </si>
  <si>
    <t xml:space="preserve">Deduções da Receita Bruta</t>
  </si>
  <si>
    <t xml:space="preserve">Despesas Empreendedor</t>
  </si>
  <si>
    <t xml:space="preserve">LANÇAMENTOS — uma linha por movimento. Preencha só as colunas A a D.</t>
  </si>
  <si>
    <t xml:space="preserve">Data</t>
  </si>
  <si>
    <t xml:space="preserve">Fornecedor / Descrição</t>
  </si>
  <si>
    <t xml:space="preserve">Valor</t>
  </si>
  <si>
    <t xml:space="preserve">Tipo (automático)</t>
  </si>
  <si>
    <t xml:space="preserve">Competência (automático)</t>
  </si>
  <si>
    <t xml:space="preserve">VENDA CLINICO</t>
  </si>
  <si>
    <t xml:space="preserve">VENDA ORTO</t>
  </si>
  <si>
    <t xml:space="preserve">LAB DENT</t>
  </si>
  <si>
    <t xml:space="preserve">RECISÃO EMILIA</t>
  </si>
  <si>
    <t xml:space="preserve">MATERIAL ODONTO</t>
  </si>
  <si>
    <t xml:space="preserve">SINDICATO</t>
  </si>
  <si>
    <t xml:space="preserve">LABORATORIO SANTO AMARO</t>
  </si>
  <si>
    <t xml:space="preserve">MATERIAL DE USO CONSUMO</t>
  </si>
  <si>
    <t xml:space="preserve">ariadna asg</t>
  </si>
  <si>
    <t xml:space="preserve">alimentação ariadna</t>
  </si>
  <si>
    <t xml:space="preserve">condução ariadna</t>
  </si>
  <si>
    <t xml:space="preserve">ana salario</t>
  </si>
  <si>
    <t xml:space="preserve">cesta ana</t>
  </si>
  <si>
    <t xml:space="preserve">condução ana</t>
  </si>
  <si>
    <t xml:space="preserve">patricia</t>
  </si>
  <si>
    <t xml:space="preserve">cesta patricia</t>
  </si>
  <si>
    <t xml:space="preserve">vt patricia</t>
  </si>
  <si>
    <t xml:space="preserve">taxa prefeitura</t>
  </si>
  <si>
    <t xml:space="preserve">secretaria online</t>
  </si>
  <si>
    <t xml:space="preserve">dra juliana</t>
  </si>
  <si>
    <t xml:space="preserve">dra leticia</t>
  </si>
  <si>
    <t xml:space="preserve">dra tayna</t>
  </si>
  <si>
    <t xml:space="preserve">dr heitor</t>
  </si>
  <si>
    <t xml:space="preserve">dr marco</t>
  </si>
  <si>
    <t xml:space="preserve">clinocorp</t>
  </si>
  <si>
    <t xml:space="preserve">uber </t>
  </si>
  <si>
    <t xml:space="preserve">aluguel</t>
  </si>
  <si>
    <t xml:space="preserve">ENERGIA</t>
  </si>
  <si>
    <t xml:space="preserve">AGUA</t>
  </si>
  <si>
    <t xml:space="preserve">IMPOSTO</t>
  </si>
  <si>
    <t xml:space="preserve">MATERIAL DE EXPEDIENTE</t>
  </si>
  <si>
    <t xml:space="preserve">CONTABILIDADE</t>
  </si>
  <si>
    <t xml:space="preserve">AGENCIA DE PROPAGANDA</t>
  </si>
  <si>
    <t xml:space="preserve">INTERNET</t>
  </si>
  <si>
    <t xml:space="preserve">IMPOSTO FEDERAL</t>
  </si>
  <si>
    <t xml:space="preserve">qualiodonto</t>
  </si>
  <si>
    <t xml:space="preserve">encargos limite </t>
  </si>
  <si>
    <t xml:space="preserve">iof</t>
  </si>
  <si>
    <t xml:space="preserve">cobrança ass funeral</t>
  </si>
  <si>
    <t xml:space="preserve">tarifa bancaria</t>
  </si>
  <si>
    <t xml:space="preserve">leticia santos</t>
  </si>
  <si>
    <t xml:space="preserve">thatiane</t>
  </si>
  <si>
    <t xml:space="preserve">qr code dinamico</t>
  </si>
  <si>
    <t xml:space="preserve">uber</t>
  </si>
  <si>
    <t xml:space="preserve">receita federal</t>
  </si>
  <si>
    <t xml:space="preserve">ABRA SUPRIMENTOS</t>
  </si>
  <si>
    <t xml:space="preserve">THAYNA MENEZES</t>
  </si>
  <si>
    <t xml:space="preserve">LETICIA SANTOS</t>
  </si>
  <si>
    <t xml:space="preserve">ANA CLARA</t>
  </si>
  <si>
    <t xml:space="preserve">DENTAL</t>
  </si>
  <si>
    <t xml:space="preserve">ENEL</t>
  </si>
  <si>
    <t xml:space="preserve">DRA JULIANAA</t>
  </si>
  <si>
    <t xml:space="preserve">ARIADNA</t>
  </si>
  <si>
    <t xml:space="preserve">PATRICIA</t>
  </si>
  <si>
    <t xml:space="preserve">PINHEIRO</t>
  </si>
  <si>
    <t xml:space="preserve">LIDER</t>
  </si>
  <si>
    <t xml:space="preserve">ALINE INGRID</t>
  </si>
  <si>
    <t xml:space="preserve">ARIADNA VT</t>
  </si>
  <si>
    <t xml:space="preserve">PATRICIA VT</t>
  </si>
  <si>
    <t xml:space="preserve">ANA CLARA VT</t>
  </si>
  <si>
    <t xml:space="preserve">LETICIA LIDER COMISSAO</t>
  </si>
  <si>
    <t xml:space="preserve">DR HEITOR</t>
  </si>
  <si>
    <t xml:space="preserve">BONUS ANA</t>
  </si>
  <si>
    <t xml:space="preserve">BONUS PATY</t>
  </si>
  <si>
    <t xml:space="preserve">BONUS ARIADNA</t>
  </si>
  <si>
    <t xml:space="preserve">SIMPLES NACIONAL</t>
  </si>
  <si>
    <t xml:space="preserve">DR MARCO</t>
  </si>
  <si>
    <t xml:space="preserve">LABORATORIO</t>
  </si>
  <si>
    <t xml:space="preserve">SUPERLOGICA</t>
  </si>
  <si>
    <t xml:space="preserve">PROTETICO</t>
  </si>
  <si>
    <t xml:space="preserve">venda clinico</t>
  </si>
  <si>
    <t xml:space="preserve">venda orto</t>
  </si>
  <si>
    <t xml:space="preserve">dental cremer</t>
  </si>
  <si>
    <t xml:space="preserve">enel </t>
  </si>
  <si>
    <t xml:space="preserve">0.3 Materiais odontológicos</t>
  </si>
  <si>
    <t xml:space="preserve">materiaql de limpeza</t>
  </si>
  <si>
    <t xml:space="preserve">cremer</t>
  </si>
  <si>
    <t xml:space="preserve">ana paula crc</t>
  </si>
  <si>
    <t xml:space="preserve">ana clara vt</t>
  </si>
  <si>
    <t xml:space="preserve">ana clara cesta</t>
  </si>
  <si>
    <t xml:space="preserve">ana clara</t>
  </si>
  <si>
    <t xml:space="preserve">ariadna vt</t>
  </si>
  <si>
    <t xml:space="preserve">ariadna cesta</t>
  </si>
  <si>
    <t xml:space="preserve">ariadna</t>
  </si>
  <si>
    <t xml:space="preserve">patricia vt</t>
  </si>
  <si>
    <t xml:space="preserve">patricia cesta</t>
  </si>
  <si>
    <t xml:space="preserve">leticia</t>
  </si>
  <si>
    <t xml:space="preserve">ana</t>
  </si>
  <si>
    <t xml:space="preserve">pati</t>
  </si>
  <si>
    <t xml:space="preserve">ari</t>
  </si>
  <si>
    <t xml:space="preserve">pinheiro</t>
  </si>
  <si>
    <t xml:space="preserve">lider</t>
  </si>
  <si>
    <t xml:space="preserve">estorno paciente</t>
  </si>
  <si>
    <t xml:space="preserve">dra thayna</t>
  </si>
  <si>
    <t xml:space="preserve">salute dra juliana</t>
  </si>
  <si>
    <t xml:space="preserve">dentista aline</t>
  </si>
  <si>
    <t xml:space="preserve">dr marcos</t>
  </si>
  <si>
    <t xml:space="preserve">assistencia funeral</t>
  </si>
  <si>
    <t xml:space="preserve">suplicar</t>
  </si>
  <si>
    <t xml:space="preserve">férias ariadna</t>
  </si>
  <si>
    <t xml:space="preserve">fgts</t>
  </si>
  <si>
    <t xml:space="preserve">ministerio fazenda</t>
  </si>
  <si>
    <t xml:space="preserve">cro</t>
  </si>
  <si>
    <t xml:space="preserve">109,15 taxa inscrição</t>
  </si>
  <si>
    <t xml:space="preserve">simples</t>
  </si>
  <si>
    <t xml:space="preserve">internet</t>
  </si>
  <si>
    <t xml:space="preserve">protetico</t>
  </si>
  <si>
    <t xml:space="preserve">taxas</t>
  </si>
  <si>
    <t xml:space="preserve">clinicorp</t>
  </si>
  <si>
    <t xml:space="preserve">tarifa</t>
  </si>
  <si>
    <t xml:space="preserve">dental cremer </t>
  </si>
  <si>
    <t xml:space="preserve">ana paula</t>
  </si>
  <si>
    <t xml:space="preserve">ana clara pagaamneto + férias</t>
  </si>
  <si>
    <t xml:space="preserve">leticia alves</t>
  </si>
  <si>
    <t xml:space="preserve">ariane</t>
  </si>
  <si>
    <t xml:space="preserve">salute</t>
  </si>
  <si>
    <t xml:space="preserve">leticia lves</t>
  </si>
  <si>
    <t xml:space="preserve">heitor</t>
  </si>
  <si>
    <t xml:space="preserve">marco</t>
  </si>
  <si>
    <t xml:space="preserve">aline</t>
  </si>
  <si>
    <t xml:space="preserve">sindicato</t>
  </si>
  <si>
    <t xml:space="preserve">vivo</t>
  </si>
  <si>
    <t xml:space="preserve">darf</t>
  </si>
  <si>
    <t xml:space="preserve">simples nacional</t>
  </si>
  <si>
    <t xml:space="preserve">caixa economica</t>
  </si>
  <si>
    <t xml:space="preserve">telefonica</t>
  </si>
  <si>
    <t xml:space="preserve">dent laboratorio</t>
  </si>
  <si>
    <t xml:space="preserve">manutenção autoclave</t>
  </si>
  <si>
    <t xml:space="preserve">pjbank - aluguel</t>
  </si>
  <si>
    <t xml:space="preserve">internet movel</t>
  </si>
  <si>
    <t xml:space="preserve">neodent</t>
  </si>
  <si>
    <t xml:space="preserve">limpeza</t>
  </si>
  <si>
    <t xml:space="preserve">parcelamento do simples</t>
  </si>
  <si>
    <t xml:space="preserve">mkt</t>
  </si>
  <si>
    <t xml:space="preserve">férias</t>
  </si>
  <si>
    <t xml:space="preserve">ARIADNA CESTA</t>
  </si>
  <si>
    <t xml:space="preserve">PATRICIA CESTA</t>
  </si>
  <si>
    <t xml:space="preserve">PROLABORE</t>
  </si>
  <si>
    <t xml:space="preserve">DENTAL CREMER</t>
  </si>
  <si>
    <t xml:space="preserve">ESTORNO</t>
  </si>
  <si>
    <t xml:space="preserve">LABORATORIO </t>
  </si>
  <si>
    <t xml:space="preserve">MANUTENÇÃO RX</t>
  </si>
  <si>
    <t xml:space="preserve">SALUTE</t>
  </si>
  <si>
    <t xml:space="preserve">THAYNA </t>
  </si>
  <si>
    <t xml:space="preserve">HEITOR</t>
  </si>
  <si>
    <t xml:space="preserve">MARCO</t>
  </si>
  <si>
    <t xml:space="preserve">LETICIA ALVES</t>
  </si>
  <si>
    <t xml:space="preserve">THAINA</t>
  </si>
  <si>
    <t xml:space="preserve">ALUGUEL IMPRESSORA</t>
  </si>
  <si>
    <t xml:space="preserve">ANA PAULA</t>
  </si>
  <si>
    <t xml:space="preserve">PAINEL — Sorriso Maior</t>
  </si>
  <si>
    <t xml:space="preserve">Atualiza sozinho conforme a aba Lançamentos recebe linha nova.</t>
  </si>
  <si>
    <t xml:space="preserve">Competência</t>
  </si>
  <si>
    <t xml:space="preserve">Custo</t>
  </si>
  <si>
    <t xml:space="preserve">Resultado</t>
  </si>
  <si>
    <t xml:space="preserve">Margem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</si>
  <si>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</si>
  <si>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</si>
  <si>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</si>
  <si>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</si>
  <si>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</si>
  <si>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TOTAL</t>
  </si>
  <si>
    <t xml:space="preserve">POR CATEGORIA (todo o período)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</si>
</sst>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;[RED]\-#,##0.00;\-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2F5233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5</v>
      </c>
    </row>
    <row r="5" customFormat="false" ht="15" hidden="false" customHeight="false" outlineLevel="0" collapsed="false">
      <c r="A5" s="2" t="s">
        <v>7</v>
      </c>
      <c r="B5" s="2" t="s">
        <v>5</v>
      </c>
    </row>
    <row r="6" customFormat="false" ht="15" hidden="false" customHeight="false" outlineLevel="0" collapsed="false">
      <c r="A6" s="2" t="s">
        <v>8</v>
      </c>
      <c r="B6" s="2" t="s">
        <v>5</v>
      </c>
    </row>
    <row r="7" customFormat="false" ht="15" hidden="false" customHeight="false" outlineLevel="0" collapsed="false">
      <c r="A7" s="2" t="s">
        <v>9</v>
      </c>
      <c r="B7" s="2" t="s">
        <v>5</v>
      </c>
    </row>
    <row r="8" customFormat="false" ht="15" hidden="false" customHeight="false" outlineLevel="0" collapsed="false">
      <c r="A8" s="2" t="s">
        <v>10</v>
      </c>
      <c r="B8" s="2" t="s">
        <v>5</v>
      </c>
    </row>
    <row r="9" customFormat="false" ht="15" hidden="false" customHeight="false" outlineLevel="0" collapsed="false">
      <c r="A9" s="2" t="s">
        <v>11</v>
      </c>
      <c r="B9" s="2" t="s">
        <v>5</v>
      </c>
    </row>
    <row r="10" customFormat="false" ht="15" hidden="false" customHeight="false" outlineLevel="0" collapsed="false">
      <c r="A10" s="2" t="s">
        <v>12</v>
      </c>
      <c r="B10" s="2" t="s">
        <v>5</v>
      </c>
    </row>
    <row r="11" customFormat="false" ht="15" hidden="false" customHeight="false" outlineLevel="0" collapsed="false">
      <c r="A11" s="2" t="s">
        <v>13</v>
      </c>
      <c r="B11" s="2" t="s">
        <v>5</v>
      </c>
    </row>
    <row r="12" customFormat="false" ht="15" hidden="false" customHeight="false" outlineLevel="0" collapsed="false">
      <c r="A12" s="2" t="s">
        <v>14</v>
      </c>
      <c r="B12" s="2" t="s">
        <v>5</v>
      </c>
    </row>
    <row r="13" customFormat="false" ht="15" hidden="false" customHeight="false" outlineLevel="0" collapsed="false">
      <c r="A13" s="2" t="s">
        <v>15</v>
      </c>
      <c r="B13" s="2" t="s">
        <v>5</v>
      </c>
    </row>
    <row r="14" customFormat="false" ht="15" hidden="false" customHeight="false" outlineLevel="0" collapsed="false">
      <c r="A14" s="2" t="s">
        <v>16</v>
      </c>
      <c r="B14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3" t="s">
        <v>17</v>
      </c>
      <c r="B1" s="3"/>
      <c r="C1" s="3"/>
      <c r="D1" s="3"/>
      <c r="E1" s="3"/>
      <c r="F1" s="3"/>
    </row>
    <row r="3" customFormat="false" ht="30" hidden="false" customHeight="true" outlineLevel="0" collapsed="false">
      <c r="A3" s="4" t="s">
        <v>18</v>
      </c>
      <c r="B3" s="4" t="s">
        <v>0</v>
      </c>
      <c r="C3" s="4" t="s">
        <v>19</v>
      </c>
      <c r="D3" s="4" t="s">
        <v>20</v>
      </c>
      <c r="E3" s="4" t="s">
        <v>21</v>
      </c>
      <c r="F3" s="4" t="s">
        <v>22</v>
      </c>
    </row>
    <row r="4" customFormat="false" ht="15" hidden="false" customHeight="false" outlineLevel="0" collapsed="false">
      <c r="A4" s="5" t="n">
        <v>46113</v>
      </c>
      <c r="B4" s="6" t="s">
        <v>2</v>
      </c>
      <c r="C4" s="6" t="s">
        <v>23</v>
      </c>
      <c r="D4" s="7" t="n">
        <v>65687.33</v>
      </c>
      <c r="E4" s="8" t="str">
        <f aca="false">IFERROR(INDEX(Categorias!$B:$B,MATCH(B4,Categorias!$A:$A,0)),"?")</f>
        <v>Receita</v>
      </c>
      <c r="F4" s="8" t="str">
        <f aca="false">IF(A4="","",TEXT(A4,"YYYY-MM"))</f>
        <v>2026-04</v>
      </c>
    </row>
    <row r="5" customFormat="false" ht="15" hidden="false" customHeight="false" outlineLevel="0" collapsed="false">
      <c r="A5" s="5" t="n">
        <v>46113</v>
      </c>
      <c r="B5" s="6" t="s">
        <v>2</v>
      </c>
      <c r="C5" s="6" t="s">
        <v>24</v>
      </c>
      <c r="D5" s="7" t="n">
        <v>4288</v>
      </c>
      <c r="E5" s="8" t="str">
        <f aca="false">IFERROR(INDEX(Categorias!$B:$B,MATCH(B5,Categorias!$A:$A,0)),"?")</f>
        <v>Receita</v>
      </c>
      <c r="F5" s="8" t="str">
        <f aca="false">IF(A5="","",TEXT(A5,"YYYY-MM"))</f>
        <v>2026-04</v>
      </c>
    </row>
    <row r="6" customFormat="false" ht="15" hidden="false" customHeight="false" outlineLevel="0" collapsed="false">
      <c r="A6" s="5" t="n">
        <v>46113</v>
      </c>
      <c r="B6" s="6" t="s">
        <v>4</v>
      </c>
      <c r="C6" s="6" t="s">
        <v>25</v>
      </c>
      <c r="D6" s="7" t="n">
        <v>3762.12</v>
      </c>
      <c r="E6" s="8" t="str">
        <f aca="false">IFERROR(INDEX(Categorias!$B:$B,MATCH(B6,Categorias!$A:$A,0)),"?")</f>
        <v>Despesa</v>
      </c>
      <c r="F6" s="8" t="str">
        <f aca="false">IF(A6="","",TEXT(A6,"YYYY-MM"))</f>
        <v>2026-04</v>
      </c>
    </row>
    <row r="7" customFormat="false" ht="15" hidden="false" customHeight="false" outlineLevel="0" collapsed="false">
      <c r="A7" s="5" t="n">
        <v>46113</v>
      </c>
      <c r="B7" s="6" t="s">
        <v>11</v>
      </c>
      <c r="C7" s="6" t="s">
        <v>26</v>
      </c>
      <c r="D7" s="7" t="n">
        <v>1417.22</v>
      </c>
      <c r="E7" s="8" t="str">
        <f aca="false">IFERROR(INDEX(Categorias!$B:$B,MATCH(B7,Categorias!$A:$A,0)),"?")</f>
        <v>Despesa</v>
      </c>
      <c r="F7" s="8" t="str">
        <f aca="false">IF(A7="","",TEXT(A7,"YYYY-MM"))</f>
        <v>2026-04</v>
      </c>
    </row>
    <row r="8" customFormat="false" ht="15" hidden="false" customHeight="false" outlineLevel="0" collapsed="false">
      <c r="A8" s="5" t="n">
        <v>46113</v>
      </c>
      <c r="B8" s="6" t="s">
        <v>4</v>
      </c>
      <c r="C8" s="6" t="s">
        <v>27</v>
      </c>
      <c r="D8" s="7" t="n">
        <v>112.18</v>
      </c>
      <c r="E8" s="8" t="str">
        <f aca="false">IFERROR(INDEX(Categorias!$B:$B,MATCH(B8,Categorias!$A:$A,0)),"?")</f>
        <v>Despesa</v>
      </c>
      <c r="F8" s="8" t="str">
        <f aca="false">IF(A8="","",TEXT(A8,"YYYY-MM"))</f>
        <v>2026-04</v>
      </c>
    </row>
    <row r="9" customFormat="false" ht="15" hidden="false" customHeight="false" outlineLevel="0" collapsed="false">
      <c r="A9" s="5" t="n">
        <v>46113</v>
      </c>
      <c r="B9" s="6" t="s">
        <v>11</v>
      </c>
      <c r="C9" s="6" t="s">
        <v>28</v>
      </c>
      <c r="D9" s="7" t="n">
        <v>34</v>
      </c>
      <c r="E9" s="8" t="str">
        <f aca="false">IFERROR(INDEX(Categorias!$B:$B,MATCH(B9,Categorias!$A:$A,0)),"?")</f>
        <v>Despesa</v>
      </c>
      <c r="F9" s="8" t="str">
        <f aca="false">IF(A9="","",TEXT(A9,"YYYY-MM"))</f>
        <v>2026-04</v>
      </c>
    </row>
    <row r="10" customFormat="false" ht="15" hidden="false" customHeight="false" outlineLevel="0" collapsed="false">
      <c r="A10" s="5" t="n">
        <v>46113</v>
      </c>
      <c r="B10" s="6" t="s">
        <v>16</v>
      </c>
      <c r="C10" s="6" t="s">
        <v>29</v>
      </c>
      <c r="D10" s="7" t="n">
        <v>4531.44</v>
      </c>
      <c r="E10" s="8" t="str">
        <f aca="false">IFERROR(INDEX(Categorias!$B:$B,MATCH(B10,Categorias!$A:$A,0)),"?")</f>
        <v>Despesa</v>
      </c>
      <c r="F10" s="8" t="str">
        <f aca="false">IF(A10="","",TEXT(A10,"YYYY-MM"))</f>
        <v>2026-04</v>
      </c>
    </row>
    <row r="11" customFormat="false" ht="15" hidden="false" customHeight="false" outlineLevel="0" collapsed="false">
      <c r="A11" s="5" t="n">
        <v>46113</v>
      </c>
      <c r="B11" s="6" t="s">
        <v>6</v>
      </c>
      <c r="C11" s="6" t="s">
        <v>30</v>
      </c>
      <c r="D11" s="7" t="n">
        <v>394.32</v>
      </c>
      <c r="E11" s="8" t="str">
        <f aca="false">IFERROR(INDEX(Categorias!$B:$B,MATCH(B11,Categorias!$A:$A,0)),"?")</f>
        <v>Despesa</v>
      </c>
      <c r="F11" s="8" t="str">
        <f aca="false">IF(A11="","",TEXT(A11,"YYYY-MM"))</f>
        <v>2026-04</v>
      </c>
    </row>
    <row r="12" customFormat="false" ht="15" hidden="false" customHeight="false" outlineLevel="0" collapsed="false">
      <c r="A12" s="5" t="n">
        <v>46113</v>
      </c>
      <c r="B12" s="6" t="s">
        <v>4</v>
      </c>
      <c r="C12" s="6" t="s">
        <v>27</v>
      </c>
      <c r="D12" s="7" t="n">
        <v>375</v>
      </c>
      <c r="E12" s="8" t="str">
        <f aca="false">IFERROR(INDEX(Categorias!$B:$B,MATCH(B12,Categorias!$A:$A,0)),"?")</f>
        <v>Despesa</v>
      </c>
      <c r="F12" s="8" t="str">
        <f aca="false">IF(A12="","",TEXT(A12,"YYYY-MM"))</f>
        <v>2026-04</v>
      </c>
    </row>
    <row r="13" customFormat="false" ht="15" hidden="false" customHeight="false" outlineLevel="0" collapsed="false">
      <c r="A13" s="5" t="n">
        <v>46113</v>
      </c>
      <c r="B13" s="6" t="s">
        <v>11</v>
      </c>
      <c r="C13" s="6" t="s">
        <v>31</v>
      </c>
      <c r="D13" s="7" t="n">
        <v>1846</v>
      </c>
      <c r="E13" s="8" t="str">
        <f aca="false">IFERROR(INDEX(Categorias!$B:$B,MATCH(B13,Categorias!$A:$A,0)),"?")</f>
        <v>Despesa</v>
      </c>
      <c r="F13" s="8" t="str">
        <f aca="false">IF(A13="","",TEXT(A13,"YYYY-MM"))</f>
        <v>2026-04</v>
      </c>
    </row>
    <row r="14" customFormat="false" ht="15" hidden="false" customHeight="false" outlineLevel="0" collapsed="false">
      <c r="A14" s="5" t="n">
        <v>46113</v>
      </c>
      <c r="B14" s="6" t="s">
        <v>11</v>
      </c>
      <c r="C14" s="6" t="s">
        <v>32</v>
      </c>
      <c r="D14" s="7" t="n">
        <v>256</v>
      </c>
      <c r="E14" s="8" t="str">
        <f aca="false">IFERROR(INDEX(Categorias!$B:$B,MATCH(B14,Categorias!$A:$A,0)),"?")</f>
        <v>Despesa</v>
      </c>
      <c r="F14" s="8" t="str">
        <f aca="false">IF(A14="","",TEXT(A14,"YYYY-MM"))</f>
        <v>2026-04</v>
      </c>
    </row>
    <row r="15" customFormat="false" ht="15" hidden="false" customHeight="false" outlineLevel="0" collapsed="false">
      <c r="A15" s="5" t="n">
        <v>46113</v>
      </c>
      <c r="B15" s="6" t="s">
        <v>11</v>
      </c>
      <c r="C15" s="6" t="s">
        <v>33</v>
      </c>
      <c r="D15" s="7" t="n">
        <v>236</v>
      </c>
      <c r="E15" s="8" t="str">
        <f aca="false">IFERROR(INDEX(Categorias!$B:$B,MATCH(B15,Categorias!$A:$A,0)),"?")</f>
        <v>Despesa</v>
      </c>
      <c r="F15" s="8" t="str">
        <f aca="false">IF(A15="","",TEXT(A15,"YYYY-MM"))</f>
        <v>2026-04</v>
      </c>
    </row>
    <row r="16" customFormat="false" ht="15" hidden="false" customHeight="false" outlineLevel="0" collapsed="false">
      <c r="A16" s="5" t="n">
        <v>46113</v>
      </c>
      <c r="B16" s="6" t="s">
        <v>11</v>
      </c>
      <c r="C16" s="6" t="s">
        <v>34</v>
      </c>
      <c r="D16" s="7" t="n">
        <v>1145</v>
      </c>
      <c r="E16" s="8" t="str">
        <f aca="false">IFERROR(INDEX(Categorias!$B:$B,MATCH(B16,Categorias!$A:$A,0)),"?")</f>
        <v>Despesa</v>
      </c>
      <c r="F16" s="8" t="str">
        <f aca="false">IF(A16="","",TEXT(A16,"YYYY-MM"))</f>
        <v>2026-04</v>
      </c>
    </row>
    <row r="17" customFormat="false" ht="15" hidden="false" customHeight="false" outlineLevel="0" collapsed="false">
      <c r="A17" s="5" t="n">
        <v>46113</v>
      </c>
      <c r="B17" s="6" t="s">
        <v>11</v>
      </c>
      <c r="C17" s="6" t="s">
        <v>35</v>
      </c>
      <c r="D17" s="7" t="n">
        <v>256</v>
      </c>
      <c r="E17" s="8" t="str">
        <f aca="false">IFERROR(INDEX(Categorias!$B:$B,MATCH(B17,Categorias!$A:$A,0)),"?")</f>
        <v>Despesa</v>
      </c>
      <c r="F17" s="8" t="str">
        <f aca="false">IF(A17="","",TEXT(A17,"YYYY-MM"))</f>
        <v>2026-04</v>
      </c>
    </row>
    <row r="18" customFormat="false" ht="15" hidden="false" customHeight="false" outlineLevel="0" collapsed="false">
      <c r="A18" s="5" t="n">
        <v>46113</v>
      </c>
      <c r="B18" s="6" t="s">
        <v>11</v>
      </c>
      <c r="C18" s="6" t="s">
        <v>36</v>
      </c>
      <c r="D18" s="7" t="n">
        <v>336</v>
      </c>
      <c r="E18" s="8" t="str">
        <f aca="false">IFERROR(INDEX(Categorias!$B:$B,MATCH(B18,Categorias!$A:$A,0)),"?")</f>
        <v>Despesa</v>
      </c>
      <c r="F18" s="8" t="str">
        <f aca="false">IF(A18="","",TEXT(A18,"YYYY-MM"))</f>
        <v>2026-04</v>
      </c>
    </row>
    <row r="19" customFormat="false" ht="15" hidden="false" customHeight="false" outlineLevel="0" collapsed="false">
      <c r="A19" s="5" t="n">
        <v>46113</v>
      </c>
      <c r="B19" s="6" t="s">
        <v>11</v>
      </c>
      <c r="C19" s="6" t="s">
        <v>37</v>
      </c>
      <c r="D19" s="7" t="n">
        <v>1940.33</v>
      </c>
      <c r="E19" s="8" t="str">
        <f aca="false">IFERROR(INDEX(Categorias!$B:$B,MATCH(B19,Categorias!$A:$A,0)),"?")</f>
        <v>Despesa</v>
      </c>
      <c r="F19" s="8" t="str">
        <f aca="false">IF(A19="","",TEXT(A19,"YYYY-MM"))</f>
        <v>2026-04</v>
      </c>
    </row>
    <row r="20" customFormat="false" ht="15" hidden="false" customHeight="false" outlineLevel="0" collapsed="false">
      <c r="A20" s="5" t="n">
        <v>46113</v>
      </c>
      <c r="B20" s="6" t="s">
        <v>11</v>
      </c>
      <c r="C20" s="6" t="s">
        <v>38</v>
      </c>
      <c r="D20" s="7" t="n">
        <v>256</v>
      </c>
      <c r="E20" s="8" t="str">
        <f aca="false">IFERROR(INDEX(Categorias!$B:$B,MATCH(B20,Categorias!$A:$A,0)),"?")</f>
        <v>Despesa</v>
      </c>
      <c r="F20" s="8" t="str">
        <f aca="false">IF(A20="","",TEXT(A20,"YYYY-MM"))</f>
        <v>2026-04</v>
      </c>
    </row>
    <row r="21" customFormat="false" ht="15" hidden="false" customHeight="false" outlineLevel="0" collapsed="false">
      <c r="A21" s="5" t="n">
        <v>46113</v>
      </c>
      <c r="B21" s="6" t="s">
        <v>11</v>
      </c>
      <c r="C21" s="6" t="s">
        <v>39</v>
      </c>
      <c r="D21" s="7" t="n">
        <v>236</v>
      </c>
      <c r="E21" s="8" t="str">
        <f aca="false">IFERROR(INDEX(Categorias!$B:$B,MATCH(B21,Categorias!$A:$A,0)),"?")</f>
        <v>Despesa</v>
      </c>
      <c r="F21" s="8" t="str">
        <f aca="false">IF(A21="","",TEXT(A21,"YYYY-MM"))</f>
        <v>2026-04</v>
      </c>
    </row>
    <row r="22" customFormat="false" ht="15" hidden="false" customHeight="false" outlineLevel="0" collapsed="false">
      <c r="A22" s="5" t="n">
        <v>46113</v>
      </c>
      <c r="B22" s="6" t="s">
        <v>7</v>
      </c>
      <c r="C22" s="6" t="s">
        <v>40</v>
      </c>
      <c r="D22" s="7" t="n">
        <v>332.45</v>
      </c>
      <c r="E22" s="8" t="str">
        <f aca="false">IFERROR(INDEX(Categorias!$B:$B,MATCH(B22,Categorias!$A:$A,0)),"?")</f>
        <v>Despesa</v>
      </c>
      <c r="F22" s="8" t="str">
        <f aca="false">IF(A22="","",TEXT(A22,"YYYY-MM"))</f>
        <v>2026-04</v>
      </c>
    </row>
    <row r="23" customFormat="false" ht="15" hidden="false" customHeight="false" outlineLevel="0" collapsed="false">
      <c r="A23" s="5" t="n">
        <v>46113</v>
      </c>
      <c r="B23" s="6" t="s">
        <v>11</v>
      </c>
      <c r="C23" s="6" t="s">
        <v>41</v>
      </c>
      <c r="D23" s="7" t="n">
        <v>500</v>
      </c>
      <c r="E23" s="8" t="str">
        <f aca="false">IFERROR(INDEX(Categorias!$B:$B,MATCH(B23,Categorias!$A:$A,0)),"?")</f>
        <v>Despesa</v>
      </c>
      <c r="F23" s="8" t="str">
        <f aca="false">IF(A23="","",TEXT(A23,"YYYY-MM"))</f>
        <v>2026-04</v>
      </c>
    </row>
    <row r="24" customFormat="false" ht="15" hidden="false" customHeight="false" outlineLevel="0" collapsed="false">
      <c r="A24" s="5" t="n">
        <v>46113</v>
      </c>
      <c r="B24" s="6" t="s">
        <v>4</v>
      </c>
      <c r="C24" s="6" t="s">
        <v>42</v>
      </c>
      <c r="D24" s="7" t="n">
        <v>4597.15</v>
      </c>
      <c r="E24" s="8" t="str">
        <f aca="false">IFERROR(INDEX(Categorias!$B:$B,MATCH(B24,Categorias!$A:$A,0)),"?")</f>
        <v>Despesa</v>
      </c>
      <c r="F24" s="8" t="str">
        <f aca="false">IF(A24="","",TEXT(A24,"YYYY-MM"))</f>
        <v>2026-04</v>
      </c>
    </row>
    <row r="25" customFormat="false" ht="15" hidden="false" customHeight="false" outlineLevel="0" collapsed="false">
      <c r="A25" s="5" t="n">
        <v>46113</v>
      </c>
      <c r="B25" s="6" t="s">
        <v>4</v>
      </c>
      <c r="C25" s="6" t="s">
        <v>43</v>
      </c>
      <c r="D25" s="7" t="n">
        <v>600</v>
      </c>
      <c r="E25" s="8" t="str">
        <f aca="false">IFERROR(INDEX(Categorias!$B:$B,MATCH(B25,Categorias!$A:$A,0)),"?")</f>
        <v>Despesa</v>
      </c>
      <c r="F25" s="8" t="str">
        <f aca="false">IF(A25="","",TEXT(A25,"YYYY-MM"))</f>
        <v>2026-04</v>
      </c>
    </row>
    <row r="26" customFormat="false" ht="15" hidden="false" customHeight="false" outlineLevel="0" collapsed="false">
      <c r="A26" s="5" t="n">
        <v>46113</v>
      </c>
      <c r="B26" s="6" t="s">
        <v>4</v>
      </c>
      <c r="C26" s="6" t="s">
        <v>44</v>
      </c>
      <c r="D26" s="7" t="n">
        <v>4170.7</v>
      </c>
      <c r="E26" s="8" t="str">
        <f aca="false">IFERROR(INDEX(Categorias!$B:$B,MATCH(B26,Categorias!$A:$A,0)),"?")</f>
        <v>Despesa</v>
      </c>
      <c r="F26" s="8" t="str">
        <f aca="false">IF(A26="","",TEXT(A26,"YYYY-MM"))</f>
        <v>2026-04</v>
      </c>
    </row>
    <row r="27" customFormat="false" ht="15" hidden="false" customHeight="false" outlineLevel="0" collapsed="false">
      <c r="A27" s="5" t="n">
        <v>46113</v>
      </c>
      <c r="B27" s="6" t="s">
        <v>4</v>
      </c>
      <c r="C27" s="6" t="s">
        <v>45</v>
      </c>
      <c r="D27" s="7" t="n">
        <v>1095</v>
      </c>
      <c r="E27" s="8" t="str">
        <f aca="false">IFERROR(INDEX(Categorias!$B:$B,MATCH(B27,Categorias!$A:$A,0)),"?")</f>
        <v>Despesa</v>
      </c>
      <c r="F27" s="8" t="str">
        <f aca="false">IF(A27="","",TEXT(A27,"YYYY-MM"))</f>
        <v>2026-04</v>
      </c>
    </row>
    <row r="28" customFormat="false" ht="15" hidden="false" customHeight="false" outlineLevel="0" collapsed="false">
      <c r="A28" s="5" t="n">
        <v>46113</v>
      </c>
      <c r="B28" s="6" t="s">
        <v>4</v>
      </c>
      <c r="C28" s="6" t="s">
        <v>46</v>
      </c>
      <c r="D28" s="7" t="n">
        <v>3000</v>
      </c>
      <c r="E28" s="8" t="str">
        <f aca="false">IFERROR(INDEX(Categorias!$B:$B,MATCH(B28,Categorias!$A:$A,0)),"?")</f>
        <v>Despesa</v>
      </c>
      <c r="F28" s="8" t="str">
        <f aca="false">IF(A28="","",TEXT(A28,"YYYY-MM"))</f>
        <v>2026-04</v>
      </c>
    </row>
    <row r="29" customFormat="false" ht="15" hidden="false" customHeight="false" outlineLevel="0" collapsed="false">
      <c r="A29" s="5" t="n">
        <v>46113</v>
      </c>
      <c r="B29" s="6" t="s">
        <v>6</v>
      </c>
      <c r="C29" s="6" t="s">
        <v>47</v>
      </c>
      <c r="D29" s="7" t="n">
        <v>718.42</v>
      </c>
      <c r="E29" s="8" t="str">
        <f aca="false">IFERROR(INDEX(Categorias!$B:$B,MATCH(B29,Categorias!$A:$A,0)),"?")</f>
        <v>Despesa</v>
      </c>
      <c r="F29" s="8" t="str">
        <f aca="false">IF(A29="","",TEXT(A29,"YYYY-MM"))</f>
        <v>2026-04</v>
      </c>
    </row>
    <row r="30" customFormat="false" ht="15" hidden="false" customHeight="false" outlineLevel="0" collapsed="false">
      <c r="A30" s="5" t="n">
        <v>46113</v>
      </c>
      <c r="B30" s="6" t="s">
        <v>6</v>
      </c>
      <c r="C30" s="6" t="s">
        <v>48</v>
      </c>
      <c r="D30" s="7" t="n">
        <v>15.94</v>
      </c>
      <c r="E30" s="8" t="str">
        <f aca="false">IFERROR(INDEX(Categorias!$B:$B,MATCH(B30,Categorias!$A:$A,0)),"?")</f>
        <v>Despesa</v>
      </c>
      <c r="F30" s="8" t="str">
        <f aca="false">IF(A30="","",TEXT(A30,"YYYY-MM"))</f>
        <v>2026-04</v>
      </c>
    </row>
    <row r="31" customFormat="false" ht="15" hidden="false" customHeight="false" outlineLevel="0" collapsed="false">
      <c r="A31" s="5" t="n">
        <v>46113</v>
      </c>
      <c r="B31" s="6" t="s">
        <v>8</v>
      </c>
      <c r="C31" s="6" t="s">
        <v>49</v>
      </c>
      <c r="D31" s="7" t="n">
        <v>3470.71</v>
      </c>
      <c r="E31" s="8" t="str">
        <f aca="false">IFERROR(INDEX(Categorias!$B:$B,MATCH(B31,Categorias!$A:$A,0)),"?")</f>
        <v>Despesa</v>
      </c>
      <c r="F31" s="8" t="str">
        <f aca="false">IF(A31="","",TEXT(A31,"YYYY-MM"))</f>
        <v>2026-04</v>
      </c>
    </row>
    <row r="32" customFormat="false" ht="15" hidden="false" customHeight="false" outlineLevel="0" collapsed="false">
      <c r="A32" s="5" t="n">
        <v>46113</v>
      </c>
      <c r="B32" s="6" t="s">
        <v>8</v>
      </c>
      <c r="C32" s="6" t="s">
        <v>49</v>
      </c>
      <c r="D32" s="7" t="n">
        <v>3303.95</v>
      </c>
      <c r="E32" s="8" t="str">
        <f aca="false">IFERROR(INDEX(Categorias!$B:$B,MATCH(B32,Categorias!$A:$A,0)),"?")</f>
        <v>Despesa</v>
      </c>
      <c r="F32" s="8" t="str">
        <f aca="false">IF(A32="","",TEXT(A32,"YYYY-MM"))</f>
        <v>2026-04</v>
      </c>
    </row>
    <row r="33" customFormat="false" ht="15" hidden="false" customHeight="false" outlineLevel="0" collapsed="false">
      <c r="A33" s="5" t="n">
        <v>46113</v>
      </c>
      <c r="B33" s="6" t="s">
        <v>10</v>
      </c>
      <c r="C33" s="6" t="s">
        <v>50</v>
      </c>
      <c r="D33" s="7" t="n">
        <v>150</v>
      </c>
      <c r="E33" s="8" t="str">
        <f aca="false">IFERROR(INDEX(Categorias!$B:$B,MATCH(B33,Categorias!$A:$A,0)),"?")</f>
        <v>Despesa</v>
      </c>
      <c r="F33" s="8" t="str">
        <f aca="false">IF(A33="","",TEXT(A33,"YYYY-MM"))</f>
        <v>2026-04</v>
      </c>
    </row>
    <row r="34" customFormat="false" ht="15" hidden="false" customHeight="false" outlineLevel="0" collapsed="false">
      <c r="A34" s="5" t="n">
        <v>46113</v>
      </c>
      <c r="B34" s="6" t="s">
        <v>10</v>
      </c>
      <c r="C34" s="6" t="s">
        <v>51</v>
      </c>
      <c r="D34" s="7" t="n">
        <v>205</v>
      </c>
      <c r="E34" s="8" t="str">
        <f aca="false">IFERROR(INDEX(Categorias!$B:$B,MATCH(B34,Categorias!$A:$A,0)),"?")</f>
        <v>Despesa</v>
      </c>
      <c r="F34" s="8" t="str">
        <f aca="false">IF(A34="","",TEXT(A34,"YYYY-MM"))</f>
        <v>2026-04</v>
      </c>
    </row>
    <row r="35" customFormat="false" ht="15" hidden="false" customHeight="false" outlineLevel="0" collapsed="false">
      <c r="A35" s="5" t="n">
        <v>46113</v>
      </c>
      <c r="B35" s="6" t="s">
        <v>15</v>
      </c>
      <c r="C35" s="6" t="s">
        <v>52</v>
      </c>
      <c r="D35" s="7" t="n">
        <v>343.86</v>
      </c>
      <c r="E35" s="8" t="str">
        <f aca="false">IFERROR(INDEX(Categorias!$B:$B,MATCH(B35,Categorias!$A:$A,0)),"?")</f>
        <v>Despesa</v>
      </c>
      <c r="F35" s="8" t="str">
        <f aca="false">IF(A35="","",TEXT(A35,"YYYY-MM"))</f>
        <v>2026-04</v>
      </c>
    </row>
    <row r="36" customFormat="false" ht="15" hidden="false" customHeight="false" outlineLevel="0" collapsed="false">
      <c r="A36" s="5" t="n">
        <v>46113</v>
      </c>
      <c r="B36" s="6" t="s">
        <v>6</v>
      </c>
      <c r="C36" s="6" t="s">
        <v>53</v>
      </c>
      <c r="D36" s="7" t="n">
        <v>250</v>
      </c>
      <c r="E36" s="8" t="str">
        <f aca="false">IFERROR(INDEX(Categorias!$B:$B,MATCH(B36,Categorias!$A:$A,0)),"?")</f>
        <v>Despesa</v>
      </c>
      <c r="F36" s="8" t="str">
        <f aca="false">IF(A36="","",TEXT(A36,"YYYY-MM"))</f>
        <v>2026-04</v>
      </c>
    </row>
    <row r="37" customFormat="false" ht="15" hidden="false" customHeight="false" outlineLevel="0" collapsed="false">
      <c r="A37" s="5" t="n">
        <v>46113</v>
      </c>
      <c r="B37" s="6" t="s">
        <v>6</v>
      </c>
      <c r="C37" s="6" t="s">
        <v>54</v>
      </c>
      <c r="D37" s="7" t="n">
        <v>600</v>
      </c>
      <c r="E37" s="8" t="str">
        <f aca="false">IFERROR(INDEX(Categorias!$B:$B,MATCH(B37,Categorias!$A:$A,0)),"?")</f>
        <v>Despesa</v>
      </c>
      <c r="F37" s="8" t="str">
        <f aca="false">IF(A37="","",TEXT(A37,"YYYY-MM"))</f>
        <v>2026-04</v>
      </c>
    </row>
    <row r="38" customFormat="false" ht="15" hidden="false" customHeight="false" outlineLevel="0" collapsed="false">
      <c r="A38" s="5" t="n">
        <v>46113</v>
      </c>
      <c r="B38" s="6" t="s">
        <v>9</v>
      </c>
      <c r="C38" s="6" t="s">
        <v>55</v>
      </c>
      <c r="D38" s="7" t="n">
        <v>1000</v>
      </c>
      <c r="E38" s="8" t="str">
        <f aca="false">IFERROR(INDEX(Categorias!$B:$B,MATCH(B38,Categorias!$A:$A,0)),"?")</f>
        <v>Despesa</v>
      </c>
      <c r="F38" s="8" t="str">
        <f aca="false">IF(A38="","",TEXT(A38,"YYYY-MM"))</f>
        <v>2026-04</v>
      </c>
    </row>
    <row r="39" customFormat="false" ht="15" hidden="false" customHeight="false" outlineLevel="0" collapsed="false">
      <c r="A39" s="5" t="n">
        <v>46113</v>
      </c>
      <c r="B39" s="6" t="s">
        <v>10</v>
      </c>
      <c r="C39" s="6" t="s">
        <v>56</v>
      </c>
      <c r="D39" s="7" t="n">
        <v>134.99</v>
      </c>
      <c r="E39" s="8" t="str">
        <f aca="false">IFERROR(INDEX(Categorias!$B:$B,MATCH(B39,Categorias!$A:$A,0)),"?")</f>
        <v>Despesa</v>
      </c>
      <c r="F39" s="8" t="str">
        <f aca="false">IF(A39="","",TEXT(A39,"YYYY-MM"))</f>
        <v>2026-04</v>
      </c>
    </row>
    <row r="40" customFormat="false" ht="15" hidden="false" customHeight="false" outlineLevel="0" collapsed="false">
      <c r="A40" s="5" t="n">
        <v>46113</v>
      </c>
      <c r="B40" s="6" t="s">
        <v>14</v>
      </c>
      <c r="C40" s="6" t="s">
        <v>57</v>
      </c>
      <c r="D40" s="7" t="n">
        <v>844.26</v>
      </c>
      <c r="E40" s="8" t="str">
        <f aca="false">IFERROR(INDEX(Categorias!$B:$B,MATCH(B40,Categorias!$A:$A,0)),"?")</f>
        <v>Despesa</v>
      </c>
      <c r="F40" s="8" t="str">
        <f aca="false">IF(A40="","",TEXT(A40,"YYYY-MM"))</f>
        <v>2026-04</v>
      </c>
    </row>
    <row r="41" customFormat="false" ht="15" hidden="false" customHeight="false" outlineLevel="0" collapsed="false">
      <c r="A41" s="5" t="n">
        <v>46113</v>
      </c>
      <c r="B41" s="6" t="s">
        <v>4</v>
      </c>
      <c r="C41" s="6" t="s">
        <v>58</v>
      </c>
      <c r="D41" s="7" t="n">
        <v>261.75</v>
      </c>
      <c r="E41" s="8" t="str">
        <f aca="false">IFERROR(INDEX(Categorias!$B:$B,MATCH(B41,Categorias!$A:$A,0)),"?")</f>
        <v>Despesa</v>
      </c>
      <c r="F41" s="8" t="str">
        <f aca="false">IF(A41="","",TEXT(A41,"YYYY-MM"))</f>
        <v>2026-04</v>
      </c>
    </row>
    <row r="42" customFormat="false" ht="15" hidden="false" customHeight="false" outlineLevel="0" collapsed="false">
      <c r="A42" s="5" t="n">
        <v>46113</v>
      </c>
      <c r="B42" s="6" t="s">
        <v>7</v>
      </c>
      <c r="C42" s="6" t="s">
        <v>59</v>
      </c>
      <c r="D42" s="7" t="n">
        <v>79.21</v>
      </c>
      <c r="E42" s="8" t="str">
        <f aca="false">IFERROR(INDEX(Categorias!$B:$B,MATCH(B42,Categorias!$A:$A,0)),"?")</f>
        <v>Despesa</v>
      </c>
      <c r="F42" s="8" t="str">
        <f aca="false">IF(A42="","",TEXT(A42,"YYYY-MM"))</f>
        <v>2026-04</v>
      </c>
    </row>
    <row r="43" customFormat="false" ht="15" hidden="false" customHeight="false" outlineLevel="0" collapsed="false">
      <c r="A43" s="5" t="n">
        <v>46113</v>
      </c>
      <c r="B43" s="6" t="s">
        <v>7</v>
      </c>
      <c r="C43" s="6" t="s">
        <v>60</v>
      </c>
      <c r="D43" s="7" t="n">
        <v>18.94</v>
      </c>
      <c r="E43" s="8" t="str">
        <f aca="false">IFERROR(INDEX(Categorias!$B:$B,MATCH(B43,Categorias!$A:$A,0)),"?")</f>
        <v>Despesa</v>
      </c>
      <c r="F43" s="8" t="str">
        <f aca="false">IF(A43="","",TEXT(A43,"YYYY-MM"))</f>
        <v>2026-04</v>
      </c>
    </row>
    <row r="44" customFormat="false" ht="15" hidden="false" customHeight="false" outlineLevel="0" collapsed="false">
      <c r="A44" s="5" t="n">
        <v>46113</v>
      </c>
      <c r="B44" s="6" t="s">
        <v>7</v>
      </c>
      <c r="C44" s="6" t="s">
        <v>61</v>
      </c>
      <c r="D44" s="7" t="n">
        <v>34</v>
      </c>
      <c r="E44" s="8" t="str">
        <f aca="false">IFERROR(INDEX(Categorias!$B:$B,MATCH(B44,Categorias!$A:$A,0)),"?")</f>
        <v>Despesa</v>
      </c>
      <c r="F44" s="8" t="str">
        <f aca="false">IF(A44="","",TEXT(A44,"YYYY-MM"))</f>
        <v>2026-04</v>
      </c>
    </row>
    <row r="45" customFormat="false" ht="15" hidden="false" customHeight="false" outlineLevel="0" collapsed="false">
      <c r="A45" s="5" t="n">
        <v>46113</v>
      </c>
      <c r="B45" s="6" t="s">
        <v>7</v>
      </c>
      <c r="C45" s="6" t="s">
        <v>62</v>
      </c>
      <c r="D45" s="7" t="n">
        <v>9.8</v>
      </c>
      <c r="E45" s="8" t="str">
        <f aca="false">IFERROR(INDEX(Categorias!$B:$B,MATCH(B45,Categorias!$A:$A,0)),"?")</f>
        <v>Despesa</v>
      </c>
      <c r="F45" s="8" t="str">
        <f aca="false">IF(A45="","",TEXT(A45,"YYYY-MM"))</f>
        <v>2026-04</v>
      </c>
    </row>
    <row r="46" customFormat="false" ht="15" hidden="false" customHeight="false" outlineLevel="0" collapsed="false">
      <c r="A46" s="5" t="n">
        <v>46113</v>
      </c>
      <c r="B46" s="6" t="s">
        <v>7</v>
      </c>
      <c r="C46" s="6" t="s">
        <v>62</v>
      </c>
      <c r="D46" s="7" t="n">
        <v>9.8</v>
      </c>
      <c r="E46" s="8" t="str">
        <f aca="false">IFERROR(INDEX(Categorias!$B:$B,MATCH(B46,Categorias!$A:$A,0)),"?")</f>
        <v>Despesa</v>
      </c>
      <c r="F46" s="8" t="str">
        <f aca="false">IF(A46="","",TEXT(A46,"YYYY-MM"))</f>
        <v>2026-04</v>
      </c>
    </row>
    <row r="47" customFormat="false" ht="15" hidden="false" customHeight="false" outlineLevel="0" collapsed="false">
      <c r="A47" s="5" t="n">
        <v>46113</v>
      </c>
      <c r="B47" s="6" t="s">
        <v>7</v>
      </c>
      <c r="C47" s="6" t="s">
        <v>62</v>
      </c>
      <c r="D47" s="7" t="n">
        <v>9.8</v>
      </c>
      <c r="E47" s="8" t="str">
        <f aca="false">IFERROR(INDEX(Categorias!$B:$B,MATCH(B47,Categorias!$A:$A,0)),"?")</f>
        <v>Despesa</v>
      </c>
      <c r="F47" s="8" t="str">
        <f aca="false">IF(A47="","",TEXT(A47,"YYYY-MM"))</f>
        <v>2026-04</v>
      </c>
    </row>
    <row r="48" customFormat="false" ht="15" hidden="false" customHeight="false" outlineLevel="0" collapsed="false">
      <c r="A48" s="5" t="n">
        <v>46113</v>
      </c>
      <c r="B48" s="6" t="s">
        <v>7</v>
      </c>
      <c r="C48" s="6" t="s">
        <v>62</v>
      </c>
      <c r="D48" s="7" t="n">
        <v>9.8</v>
      </c>
      <c r="E48" s="8" t="str">
        <f aca="false">IFERROR(INDEX(Categorias!$B:$B,MATCH(B48,Categorias!$A:$A,0)),"?")</f>
        <v>Despesa</v>
      </c>
      <c r="F48" s="8" t="str">
        <f aca="false">IF(A48="","",TEXT(A48,"YYYY-MM"))</f>
        <v>2026-04</v>
      </c>
    </row>
    <row r="49" customFormat="false" ht="15" hidden="false" customHeight="false" outlineLevel="0" collapsed="false">
      <c r="A49" s="5" t="n">
        <v>46113</v>
      </c>
      <c r="B49" s="6" t="s">
        <v>7</v>
      </c>
      <c r="C49" s="6" t="s">
        <v>62</v>
      </c>
      <c r="D49" s="7" t="n">
        <v>9.8</v>
      </c>
      <c r="E49" s="8" t="str">
        <f aca="false">IFERROR(INDEX(Categorias!$B:$B,MATCH(B49,Categorias!$A:$A,0)),"?")</f>
        <v>Despesa</v>
      </c>
      <c r="F49" s="8" t="str">
        <f aca="false">IF(A49="","",TEXT(A49,"YYYY-MM"))</f>
        <v>2026-04</v>
      </c>
    </row>
    <row r="50" customFormat="false" ht="15" hidden="false" customHeight="false" outlineLevel="0" collapsed="false">
      <c r="A50" s="5" t="n">
        <v>46113</v>
      </c>
      <c r="B50" s="6" t="s">
        <v>4</v>
      </c>
      <c r="C50" s="6" t="s">
        <v>63</v>
      </c>
      <c r="D50" s="7" t="n">
        <v>600</v>
      </c>
      <c r="E50" s="8" t="str">
        <f aca="false">IFERROR(INDEX(Categorias!$B:$B,MATCH(B50,Categorias!$A:$A,0)),"?")</f>
        <v>Despesa</v>
      </c>
      <c r="F50" s="8" t="str">
        <f aca="false">IF(A50="","",TEXT(A50,"YYYY-MM"))</f>
        <v>2026-04</v>
      </c>
    </row>
    <row r="51" customFormat="false" ht="15" hidden="false" customHeight="false" outlineLevel="0" collapsed="false">
      <c r="A51" s="5" t="n">
        <v>46113</v>
      </c>
      <c r="B51" s="6" t="s">
        <v>7</v>
      </c>
      <c r="C51" s="6" t="s">
        <v>62</v>
      </c>
      <c r="D51" s="7" t="n">
        <v>7.25</v>
      </c>
      <c r="E51" s="8" t="str">
        <f aca="false">IFERROR(INDEX(Categorias!$B:$B,MATCH(B51,Categorias!$A:$A,0)),"?")</f>
        <v>Despesa</v>
      </c>
      <c r="F51" s="8" t="str">
        <f aca="false">IF(A51="","",TEXT(A51,"YYYY-MM"))</f>
        <v>2026-04</v>
      </c>
    </row>
    <row r="52" customFormat="false" ht="15" hidden="false" customHeight="false" outlineLevel="0" collapsed="false">
      <c r="A52" s="5" t="n">
        <v>46113</v>
      </c>
      <c r="B52" s="6" t="s">
        <v>7</v>
      </c>
      <c r="C52" s="6" t="s">
        <v>62</v>
      </c>
      <c r="D52" s="7" t="n">
        <v>8.7</v>
      </c>
      <c r="E52" s="8" t="str">
        <f aca="false">IFERROR(INDEX(Categorias!$B:$B,MATCH(B52,Categorias!$A:$A,0)),"?")</f>
        <v>Despesa</v>
      </c>
      <c r="F52" s="8" t="str">
        <f aca="false">IF(A52="","",TEXT(A52,"YYYY-MM"))</f>
        <v>2026-04</v>
      </c>
    </row>
    <row r="53" customFormat="false" ht="15" hidden="false" customHeight="false" outlineLevel="0" collapsed="false">
      <c r="A53" s="5" t="n">
        <v>46113</v>
      </c>
      <c r="B53" s="6" t="s">
        <v>7</v>
      </c>
      <c r="C53" s="6" t="s">
        <v>62</v>
      </c>
      <c r="D53" s="7" t="n">
        <v>9.8</v>
      </c>
      <c r="E53" s="8" t="str">
        <f aca="false">IFERROR(INDEX(Categorias!$B:$B,MATCH(B53,Categorias!$A:$A,0)),"?")</f>
        <v>Despesa</v>
      </c>
      <c r="F53" s="8" t="str">
        <f aca="false">IF(A53="","",TEXT(A53,"YYYY-MM"))</f>
        <v>2026-04</v>
      </c>
    </row>
    <row r="54" customFormat="false" ht="15" hidden="false" customHeight="false" outlineLevel="0" collapsed="false">
      <c r="A54" s="5" t="n">
        <v>46113</v>
      </c>
      <c r="B54" s="6" t="s">
        <v>7</v>
      </c>
      <c r="C54" s="6" t="s">
        <v>62</v>
      </c>
      <c r="D54" s="7" t="n">
        <v>183.6</v>
      </c>
      <c r="E54" s="8" t="str">
        <f aca="false">IFERROR(INDEX(Categorias!$B:$B,MATCH(B54,Categorias!$A:$A,0)),"?")</f>
        <v>Despesa</v>
      </c>
      <c r="F54" s="8" t="str">
        <f aca="false">IF(A54="","",TEXT(A54,"YYYY-MM"))</f>
        <v>2026-04</v>
      </c>
    </row>
    <row r="55" customFormat="false" ht="15" hidden="false" customHeight="false" outlineLevel="0" collapsed="false">
      <c r="A55" s="5" t="n">
        <v>46113</v>
      </c>
      <c r="B55" s="6" t="s">
        <v>7</v>
      </c>
      <c r="C55" s="6" t="s">
        <v>62</v>
      </c>
      <c r="D55" s="7" t="n">
        <v>9.8</v>
      </c>
      <c r="E55" s="8" t="str">
        <f aca="false">IFERROR(INDEX(Categorias!$B:$B,MATCH(B55,Categorias!$A:$A,0)),"?")</f>
        <v>Despesa</v>
      </c>
      <c r="F55" s="8" t="str">
        <f aca="false">IF(A55="","",TEXT(A55,"YYYY-MM"))</f>
        <v>2026-04</v>
      </c>
    </row>
    <row r="56" customFormat="false" ht="15" hidden="false" customHeight="false" outlineLevel="0" collapsed="false">
      <c r="A56" s="5" t="n">
        <v>46113</v>
      </c>
      <c r="B56" s="6" t="s">
        <v>15</v>
      </c>
      <c r="C56" s="6" t="s">
        <v>64</v>
      </c>
      <c r="D56" s="7" t="n">
        <v>846</v>
      </c>
      <c r="E56" s="8" t="str">
        <f aca="false">IFERROR(INDEX(Categorias!$B:$B,MATCH(B56,Categorias!$A:$A,0)),"?")</f>
        <v>Despesa</v>
      </c>
      <c r="F56" s="8" t="str">
        <f aca="false">IF(A56="","",TEXT(A56,"YYYY-MM"))</f>
        <v>2026-04</v>
      </c>
    </row>
    <row r="57" customFormat="false" ht="15" hidden="false" customHeight="false" outlineLevel="0" collapsed="false">
      <c r="A57" s="5" t="n">
        <v>46113</v>
      </c>
      <c r="B57" s="6" t="s">
        <v>11</v>
      </c>
      <c r="C57" s="6" t="s">
        <v>65</v>
      </c>
      <c r="D57" s="7" t="n">
        <v>1430.7</v>
      </c>
      <c r="E57" s="8" t="str">
        <f aca="false">IFERROR(INDEX(Categorias!$B:$B,MATCH(B57,Categorias!$A:$A,0)),"?")</f>
        <v>Despesa</v>
      </c>
      <c r="F57" s="8" t="str">
        <f aca="false">IF(A57="","",TEXT(A57,"YYYY-MM"))</f>
        <v>2026-04</v>
      </c>
    </row>
    <row r="58" customFormat="false" ht="15" hidden="false" customHeight="false" outlineLevel="0" collapsed="false">
      <c r="A58" s="5" t="n">
        <v>46113</v>
      </c>
      <c r="B58" s="6" t="s">
        <v>7</v>
      </c>
      <c r="C58" s="6" t="s">
        <v>62</v>
      </c>
      <c r="D58" s="7" t="n">
        <v>9.8</v>
      </c>
      <c r="E58" s="8" t="str">
        <f aca="false">IFERROR(INDEX(Categorias!$B:$B,MATCH(B58,Categorias!$A:$A,0)),"?")</f>
        <v>Despesa</v>
      </c>
      <c r="F58" s="8" t="str">
        <f aca="false">IF(A58="","",TEXT(A58,"YYYY-MM"))</f>
        <v>2026-04</v>
      </c>
    </row>
    <row r="59" customFormat="false" ht="15" hidden="false" customHeight="false" outlineLevel="0" collapsed="false">
      <c r="A59" s="5" t="n">
        <v>46113</v>
      </c>
      <c r="B59" s="6" t="s">
        <v>7</v>
      </c>
      <c r="C59" s="6" t="s">
        <v>62</v>
      </c>
      <c r="D59" s="7" t="n">
        <v>9.8</v>
      </c>
      <c r="E59" s="8" t="str">
        <f aca="false">IFERROR(INDEX(Categorias!$B:$B,MATCH(B59,Categorias!$A:$A,0)),"?")</f>
        <v>Despesa</v>
      </c>
      <c r="F59" s="8" t="str">
        <f aca="false">IF(A59="","",TEXT(A59,"YYYY-MM"))</f>
        <v>2026-04</v>
      </c>
    </row>
    <row r="60" customFormat="false" ht="15" hidden="false" customHeight="false" outlineLevel="0" collapsed="false">
      <c r="A60" s="5" t="n">
        <v>46113</v>
      </c>
      <c r="B60" s="6" t="s">
        <v>7</v>
      </c>
      <c r="C60" s="6" t="s">
        <v>62</v>
      </c>
      <c r="D60" s="7" t="n">
        <v>9.8</v>
      </c>
      <c r="E60" s="8" t="str">
        <f aca="false">IFERROR(INDEX(Categorias!$B:$B,MATCH(B60,Categorias!$A:$A,0)),"?")</f>
        <v>Despesa</v>
      </c>
      <c r="F60" s="8" t="str">
        <f aca="false">IF(A60="","",TEXT(A60,"YYYY-MM"))</f>
        <v>2026-04</v>
      </c>
    </row>
    <row r="61" customFormat="false" ht="15" hidden="false" customHeight="false" outlineLevel="0" collapsed="false">
      <c r="A61" s="5" t="n">
        <v>46113</v>
      </c>
      <c r="B61" s="6" t="s">
        <v>6</v>
      </c>
      <c r="C61" s="6" t="s">
        <v>66</v>
      </c>
      <c r="D61" s="7" t="n">
        <v>15.94</v>
      </c>
      <c r="E61" s="8" t="str">
        <f aca="false">IFERROR(INDEX(Categorias!$B:$B,MATCH(B61,Categorias!$A:$A,0)),"?")</f>
        <v>Despesa</v>
      </c>
      <c r="F61" s="8" t="str">
        <f aca="false">IF(A61="","",TEXT(A61,"YYYY-MM"))</f>
        <v>2026-04</v>
      </c>
    </row>
    <row r="62" customFormat="false" ht="15" hidden="false" customHeight="false" outlineLevel="0" collapsed="false">
      <c r="A62" s="5" t="n">
        <v>46113</v>
      </c>
      <c r="B62" s="6" t="s">
        <v>14</v>
      </c>
      <c r="C62" s="6" t="s">
        <v>67</v>
      </c>
      <c r="D62" s="7" t="n">
        <v>2718.26</v>
      </c>
      <c r="E62" s="8" t="str">
        <f aca="false">IFERROR(INDEX(Categorias!$B:$B,MATCH(B62,Categorias!$A:$A,0)),"?")</f>
        <v>Despesa</v>
      </c>
      <c r="F62" s="8" t="str">
        <f aca="false">IF(A62="","",TEXT(A62,"YYYY-MM"))</f>
        <v>2026-04</v>
      </c>
    </row>
    <row r="63" customFormat="false" ht="15" hidden="false" customHeight="false" outlineLevel="0" collapsed="false">
      <c r="A63" s="5" t="n">
        <v>46143</v>
      </c>
      <c r="B63" s="6" t="s">
        <v>2</v>
      </c>
      <c r="C63" s="6" t="s">
        <v>23</v>
      </c>
      <c r="D63" s="7" t="n">
        <v>62741.09</v>
      </c>
      <c r="E63" s="8" t="str">
        <f aca="false">IFERROR(INDEX(Categorias!$B:$B,MATCH(B63,Categorias!$A:$A,0)),"?")</f>
        <v>Receita</v>
      </c>
      <c r="F63" s="8" t="str">
        <f aca="false">IF(A63="","",TEXT(A63,"YYYY-MM"))</f>
        <v>2026-05</v>
      </c>
    </row>
    <row r="64" customFormat="false" ht="15" hidden="false" customHeight="false" outlineLevel="0" collapsed="false">
      <c r="A64" s="5" t="n">
        <v>46143</v>
      </c>
      <c r="B64" s="6" t="s">
        <v>2</v>
      </c>
      <c r="C64" s="6" t="s">
        <v>24</v>
      </c>
      <c r="D64" s="7" t="n">
        <v>5130.26</v>
      </c>
      <c r="E64" s="8" t="str">
        <f aca="false">IFERROR(INDEX(Categorias!$B:$B,MATCH(B64,Categorias!$A:$A,0)),"?")</f>
        <v>Receita</v>
      </c>
      <c r="F64" s="8" t="str">
        <f aca="false">IF(A64="","",TEXT(A64,"YYYY-MM"))</f>
        <v>2026-05</v>
      </c>
    </row>
    <row r="65" customFormat="false" ht="15" hidden="false" customHeight="false" outlineLevel="0" collapsed="false">
      <c r="A65" s="5" t="n">
        <v>46143</v>
      </c>
      <c r="B65" s="6" t="s">
        <v>6</v>
      </c>
      <c r="C65" s="6" t="s">
        <v>68</v>
      </c>
      <c r="D65" s="7" t="n">
        <v>67.8</v>
      </c>
      <c r="E65" s="8" t="str">
        <f aca="false">IFERROR(INDEX(Categorias!$B:$B,MATCH(B65,Categorias!$A:$A,0)),"?")</f>
        <v>Despesa</v>
      </c>
      <c r="F65" s="8" t="str">
        <f aca="false">IF(A65="","",TEXT(A65,"YYYY-MM"))</f>
        <v>2026-05</v>
      </c>
    </row>
    <row r="66" customFormat="false" ht="15" hidden="false" customHeight="false" outlineLevel="0" collapsed="false">
      <c r="A66" s="5" t="n">
        <v>46143</v>
      </c>
      <c r="B66" s="6" t="s">
        <v>4</v>
      </c>
      <c r="C66" s="6" t="s">
        <v>69</v>
      </c>
      <c r="D66" s="7" t="n">
        <v>2496.5</v>
      </c>
      <c r="E66" s="8" t="str">
        <f aca="false">IFERROR(INDEX(Categorias!$B:$B,MATCH(B66,Categorias!$A:$A,0)),"?")</f>
        <v>Despesa</v>
      </c>
      <c r="F66" s="8" t="str">
        <f aca="false">IF(A66="","",TEXT(A66,"YYYY-MM"))</f>
        <v>2026-05</v>
      </c>
    </row>
    <row r="67" customFormat="false" ht="15" hidden="false" customHeight="false" outlineLevel="0" collapsed="false">
      <c r="A67" s="5" t="n">
        <v>46143</v>
      </c>
      <c r="B67" s="6" t="s">
        <v>4</v>
      </c>
      <c r="C67" s="6" t="s">
        <v>70</v>
      </c>
      <c r="D67" s="7" t="n">
        <v>715</v>
      </c>
      <c r="E67" s="8" t="str">
        <f aca="false">IFERROR(INDEX(Categorias!$B:$B,MATCH(B67,Categorias!$A:$A,0)),"?")</f>
        <v>Despesa</v>
      </c>
      <c r="F67" s="8" t="str">
        <f aca="false">IF(A67="","",TEXT(A67,"YYYY-MM"))</f>
        <v>2026-05</v>
      </c>
    </row>
    <row r="68" customFormat="false" ht="15" hidden="false" customHeight="false" outlineLevel="0" collapsed="false">
      <c r="A68" s="5" t="n">
        <v>46143</v>
      </c>
      <c r="B68" s="6" t="s">
        <v>11</v>
      </c>
      <c r="C68" s="6" t="s">
        <v>71</v>
      </c>
      <c r="D68" s="7" t="n">
        <v>150</v>
      </c>
      <c r="E68" s="8" t="str">
        <f aca="false">IFERROR(INDEX(Categorias!$B:$B,MATCH(B68,Categorias!$A:$A,0)),"?")</f>
        <v>Despesa</v>
      </c>
      <c r="F68" s="8" t="str">
        <f aca="false">IF(A68="","",TEXT(A68,"YYYY-MM"))</f>
        <v>2026-05</v>
      </c>
    </row>
    <row r="69" customFormat="false" ht="15" hidden="false" customHeight="false" outlineLevel="0" collapsed="false">
      <c r="A69" s="5" t="n">
        <v>46143</v>
      </c>
      <c r="B69" s="6" t="s">
        <v>4</v>
      </c>
      <c r="C69" s="6" t="s">
        <v>72</v>
      </c>
      <c r="D69" s="7" t="n">
        <v>825</v>
      </c>
      <c r="E69" s="8" t="str">
        <f aca="false">IFERROR(INDEX(Categorias!$B:$B,MATCH(B69,Categorias!$A:$A,0)),"?")</f>
        <v>Despesa</v>
      </c>
      <c r="F69" s="8" t="str">
        <f aca="false">IF(A69="","",TEXT(A69,"YYYY-MM"))</f>
        <v>2026-05</v>
      </c>
    </row>
    <row r="70" customFormat="false" ht="15" hidden="false" customHeight="false" outlineLevel="0" collapsed="false">
      <c r="A70" s="5" t="n">
        <v>46143</v>
      </c>
      <c r="B70" s="6" t="s">
        <v>4</v>
      </c>
      <c r="C70" s="6" t="s">
        <v>72</v>
      </c>
      <c r="D70" s="7" t="n">
        <v>375</v>
      </c>
      <c r="E70" s="8" t="str">
        <f aca="false">IFERROR(INDEX(Categorias!$B:$B,MATCH(B70,Categorias!$A:$A,0)),"?")</f>
        <v>Despesa</v>
      </c>
      <c r="F70" s="8" t="str">
        <f aca="false">IF(A70="","",TEXT(A70,"YYYY-MM"))</f>
        <v>2026-05</v>
      </c>
    </row>
    <row r="71" customFormat="false" ht="15" hidden="false" customHeight="false" outlineLevel="0" collapsed="false">
      <c r="A71" s="5" t="n">
        <v>46143</v>
      </c>
      <c r="B71" s="6" t="s">
        <v>10</v>
      </c>
      <c r="C71" s="6" t="s">
        <v>73</v>
      </c>
      <c r="D71" s="7" t="n">
        <v>69.11</v>
      </c>
      <c r="E71" s="8" t="str">
        <f aca="false">IFERROR(INDEX(Categorias!$B:$B,MATCH(B71,Categorias!$A:$A,0)),"?")</f>
        <v>Despesa</v>
      </c>
      <c r="F71" s="8" t="str">
        <f aca="false">IF(A71="","",TEXT(A71,"YYYY-MM"))</f>
        <v>2026-05</v>
      </c>
    </row>
    <row r="72" customFormat="false" ht="15" hidden="false" customHeight="false" outlineLevel="0" collapsed="false">
      <c r="A72" s="5" t="n">
        <v>46143</v>
      </c>
      <c r="B72" s="6" t="s">
        <v>10</v>
      </c>
      <c r="C72" s="6" t="s">
        <v>73</v>
      </c>
      <c r="D72" s="7" t="n">
        <v>50.52</v>
      </c>
      <c r="E72" s="8" t="str">
        <f aca="false">IFERROR(INDEX(Categorias!$B:$B,MATCH(B72,Categorias!$A:$A,0)),"?")</f>
        <v>Despesa</v>
      </c>
      <c r="F72" s="8" t="str">
        <f aca="false">IF(A72="","",TEXT(A72,"YYYY-MM"))</f>
        <v>2026-05</v>
      </c>
    </row>
    <row r="73" customFormat="false" ht="15" hidden="false" customHeight="false" outlineLevel="0" collapsed="false">
      <c r="A73" s="5" t="n">
        <v>46143</v>
      </c>
      <c r="B73" s="6" t="s">
        <v>4</v>
      </c>
      <c r="C73" s="6" t="s">
        <v>74</v>
      </c>
      <c r="D73" s="7" t="n">
        <v>3170.17</v>
      </c>
      <c r="E73" s="8" t="str">
        <f aca="false">IFERROR(INDEX(Categorias!$B:$B,MATCH(B73,Categorias!$A:$A,0)),"?")</f>
        <v>Despesa</v>
      </c>
      <c r="F73" s="8" t="str">
        <f aca="false">IF(A73="","",TEXT(A73,"YYYY-MM"))</f>
        <v>2026-05</v>
      </c>
    </row>
    <row r="74" customFormat="false" ht="15" hidden="false" customHeight="false" outlineLevel="0" collapsed="false">
      <c r="A74" s="5" t="n">
        <v>46143</v>
      </c>
      <c r="B74" s="6" t="s">
        <v>11</v>
      </c>
      <c r="C74" s="6" t="s">
        <v>71</v>
      </c>
      <c r="D74" s="7" t="n">
        <v>1600</v>
      </c>
      <c r="E74" s="8" t="str">
        <f aca="false">IFERROR(INDEX(Categorias!$B:$B,MATCH(B74,Categorias!$A:$A,0)),"?")</f>
        <v>Despesa</v>
      </c>
      <c r="F74" s="8" t="str">
        <f aca="false">IF(A74="","",TEXT(A74,"YYYY-MM"))</f>
        <v>2026-05</v>
      </c>
    </row>
    <row r="75" customFormat="false" ht="15" hidden="false" customHeight="false" outlineLevel="0" collapsed="false">
      <c r="A75" s="5" t="n">
        <v>46143</v>
      </c>
      <c r="B75" s="6" t="s">
        <v>11</v>
      </c>
      <c r="C75" s="6" t="s">
        <v>75</v>
      </c>
      <c r="D75" s="7" t="n">
        <v>2102</v>
      </c>
      <c r="E75" s="8" t="str">
        <f aca="false">IFERROR(INDEX(Categorias!$B:$B,MATCH(B75,Categorias!$A:$A,0)),"?")</f>
        <v>Despesa</v>
      </c>
      <c r="F75" s="8" t="str">
        <f aca="false">IF(A75="","",TEXT(A75,"YYYY-MM"))</f>
        <v>2026-05</v>
      </c>
    </row>
    <row r="76" customFormat="false" ht="15" hidden="false" customHeight="false" outlineLevel="0" collapsed="false">
      <c r="A76" s="5" t="n">
        <v>46143</v>
      </c>
      <c r="B76" s="6" t="s">
        <v>11</v>
      </c>
      <c r="C76" s="6" t="s">
        <v>76</v>
      </c>
      <c r="D76" s="7" t="n">
        <v>2119</v>
      </c>
      <c r="E76" s="8" t="str">
        <f aca="false">IFERROR(INDEX(Categorias!$B:$B,MATCH(B76,Categorias!$A:$A,0)),"?")</f>
        <v>Despesa</v>
      </c>
      <c r="F76" s="8" t="str">
        <f aca="false">IF(A76="","",TEXT(A76,"YYYY-MM"))</f>
        <v>2026-05</v>
      </c>
    </row>
    <row r="77" customFormat="false" ht="15" hidden="false" customHeight="false" outlineLevel="0" collapsed="false">
      <c r="A77" s="5" t="n">
        <v>46143</v>
      </c>
      <c r="B77" s="6" t="s">
        <v>6</v>
      </c>
      <c r="C77" s="6" t="s">
        <v>68</v>
      </c>
      <c r="D77" s="7" t="n">
        <v>399.83</v>
      </c>
      <c r="E77" s="8" t="str">
        <f aca="false">IFERROR(INDEX(Categorias!$B:$B,MATCH(B77,Categorias!$A:$A,0)),"?")</f>
        <v>Despesa</v>
      </c>
      <c r="F77" s="8" t="str">
        <f aca="false">IF(A77="","",TEXT(A77,"YYYY-MM"))</f>
        <v>2026-05</v>
      </c>
    </row>
    <row r="78" customFormat="false" ht="15" hidden="false" customHeight="false" outlineLevel="0" collapsed="false">
      <c r="A78" s="5" t="n">
        <v>46143</v>
      </c>
      <c r="B78" s="6" t="s">
        <v>13</v>
      </c>
      <c r="C78" s="6" t="s">
        <v>77</v>
      </c>
      <c r="D78" s="7" t="n">
        <v>4000</v>
      </c>
      <c r="E78" s="8" t="str">
        <f aca="false">IFERROR(INDEX(Categorias!$B:$B,MATCH(B78,Categorias!$A:$A,0)),"?")</f>
        <v>Despesa</v>
      </c>
      <c r="F78" s="8" t="str">
        <f aca="false">IF(A78="","",TEXT(A78,"YYYY-MM"))</f>
        <v>2026-05</v>
      </c>
    </row>
    <row r="79" customFormat="false" ht="15" hidden="false" customHeight="false" outlineLevel="0" collapsed="false">
      <c r="A79" s="5" t="n">
        <v>46143</v>
      </c>
      <c r="B79" s="6" t="s">
        <v>13</v>
      </c>
      <c r="C79" s="6" t="s">
        <v>78</v>
      </c>
      <c r="D79" s="7" t="n">
        <v>5000</v>
      </c>
      <c r="E79" s="8" t="str">
        <f aca="false">IFERROR(INDEX(Categorias!$B:$B,MATCH(B79,Categorias!$A:$A,0)),"?")</f>
        <v>Despesa</v>
      </c>
      <c r="F79" s="8" t="str">
        <f aca="false">IF(A79="","",TEXT(A79,"YYYY-MM"))</f>
        <v>2026-05</v>
      </c>
    </row>
    <row r="80" customFormat="false" ht="15" hidden="false" customHeight="false" outlineLevel="0" collapsed="false">
      <c r="A80" s="5" t="n">
        <v>46143</v>
      </c>
      <c r="B80" s="6" t="s">
        <v>4</v>
      </c>
      <c r="C80" s="6" t="s">
        <v>79</v>
      </c>
      <c r="D80" s="7" t="n">
        <v>1864.3</v>
      </c>
      <c r="E80" s="8" t="str">
        <f aca="false">IFERROR(INDEX(Categorias!$B:$B,MATCH(B80,Categorias!$A:$A,0)),"?")</f>
        <v>Despesa</v>
      </c>
      <c r="F80" s="8" t="str">
        <f aca="false">IF(A80="","",TEXT(A80,"YYYY-MM"))</f>
        <v>2026-05</v>
      </c>
    </row>
    <row r="81" customFormat="false" ht="15" hidden="false" customHeight="false" outlineLevel="0" collapsed="false">
      <c r="A81" s="5" t="n">
        <v>46143</v>
      </c>
      <c r="B81" s="6" t="s">
        <v>4</v>
      </c>
      <c r="C81" s="6" t="s">
        <v>72</v>
      </c>
      <c r="D81" s="7" t="n">
        <v>306.55</v>
      </c>
      <c r="E81" s="8" t="str">
        <f aca="false">IFERROR(INDEX(Categorias!$B:$B,MATCH(B81,Categorias!$A:$A,0)),"?")</f>
        <v>Despesa</v>
      </c>
      <c r="F81" s="8" t="str">
        <f aca="false">IF(A81="","",TEXT(A81,"YYYY-MM"))</f>
        <v>2026-05</v>
      </c>
    </row>
    <row r="82" customFormat="false" ht="15" hidden="false" customHeight="false" outlineLevel="0" collapsed="false">
      <c r="A82" s="5" t="n">
        <v>46143</v>
      </c>
      <c r="B82" s="6" t="s">
        <v>11</v>
      </c>
      <c r="C82" s="6" t="s">
        <v>80</v>
      </c>
      <c r="D82" s="7" t="n">
        <v>238</v>
      </c>
      <c r="E82" s="8" t="str">
        <f aca="false">IFERROR(INDEX(Categorias!$B:$B,MATCH(B82,Categorias!$A:$A,0)),"?")</f>
        <v>Despesa</v>
      </c>
      <c r="F82" s="8" t="str">
        <f aca="false">IF(A82="","",TEXT(A82,"YYYY-MM"))</f>
        <v>2026-05</v>
      </c>
    </row>
    <row r="83" customFormat="false" ht="15" hidden="false" customHeight="false" outlineLevel="0" collapsed="false">
      <c r="A83" s="5" t="n">
        <v>46143</v>
      </c>
      <c r="B83" s="6" t="s">
        <v>11</v>
      </c>
      <c r="C83" s="6" t="s">
        <v>81</v>
      </c>
      <c r="D83" s="7" t="n">
        <v>238</v>
      </c>
      <c r="E83" s="8" t="str">
        <f aca="false">IFERROR(INDEX(Categorias!$B:$B,MATCH(B83,Categorias!$A:$A,0)),"?")</f>
        <v>Despesa</v>
      </c>
      <c r="F83" s="8" t="str">
        <f aca="false">IF(A83="","",TEXT(A83,"YYYY-MM"))</f>
        <v>2026-05</v>
      </c>
    </row>
    <row r="84" customFormat="false" ht="15" hidden="false" customHeight="false" outlineLevel="0" collapsed="false">
      <c r="A84" s="5" t="n">
        <v>46143</v>
      </c>
      <c r="B84" s="6" t="s">
        <v>11</v>
      </c>
      <c r="C84" s="6" t="s">
        <v>82</v>
      </c>
      <c r="D84" s="7" t="n">
        <v>138</v>
      </c>
      <c r="E84" s="8" t="str">
        <f aca="false">IFERROR(INDEX(Categorias!$B:$B,MATCH(B84,Categorias!$A:$A,0)),"?")</f>
        <v>Despesa</v>
      </c>
      <c r="F84" s="8" t="str">
        <f aca="false">IF(A84="","",TEXT(A84,"YYYY-MM"))</f>
        <v>2026-05</v>
      </c>
    </row>
    <row r="85" customFormat="false" ht="15" hidden="false" customHeight="false" outlineLevel="0" collapsed="false">
      <c r="A85" s="5" t="n">
        <v>46143</v>
      </c>
      <c r="B85" s="6" t="s">
        <v>12</v>
      </c>
      <c r="C85" s="6" t="s">
        <v>83</v>
      </c>
      <c r="D85" s="7" t="n">
        <v>150</v>
      </c>
      <c r="E85" s="8" t="str">
        <f aca="false">IFERROR(INDEX(Categorias!$B:$B,MATCH(B85,Categorias!$A:$A,0)),"?")</f>
        <v>Despesa</v>
      </c>
      <c r="F85" s="8" t="str">
        <f aca="false">IF(A85="","",TEXT(A85,"YYYY-MM"))</f>
        <v>2026-05</v>
      </c>
    </row>
    <row r="86" customFormat="false" ht="15" hidden="false" customHeight="false" outlineLevel="0" collapsed="false">
      <c r="A86" s="5" t="n">
        <v>46143</v>
      </c>
      <c r="B86" s="6" t="s">
        <v>4</v>
      </c>
      <c r="C86" s="6" t="s">
        <v>84</v>
      </c>
      <c r="D86" s="7" t="n">
        <v>975</v>
      </c>
      <c r="E86" s="8" t="str">
        <f aca="false">IFERROR(INDEX(Categorias!$B:$B,MATCH(B86,Categorias!$A:$A,0)),"?")</f>
        <v>Despesa</v>
      </c>
      <c r="F86" s="8" t="str">
        <f aca="false">IF(A86="","",TEXT(A86,"YYYY-MM"))</f>
        <v>2026-05</v>
      </c>
    </row>
    <row r="87" customFormat="false" ht="15" hidden="false" customHeight="false" outlineLevel="0" collapsed="false">
      <c r="A87" s="5" t="n">
        <v>46143</v>
      </c>
      <c r="B87" s="6" t="s">
        <v>12</v>
      </c>
      <c r="C87" s="6" t="s">
        <v>85</v>
      </c>
      <c r="D87" s="7" t="n">
        <v>150</v>
      </c>
      <c r="E87" s="8" t="str">
        <f aca="false">IFERROR(INDEX(Categorias!$B:$B,MATCH(B87,Categorias!$A:$A,0)),"?")</f>
        <v>Despesa</v>
      </c>
      <c r="F87" s="8" t="str">
        <f aca="false">IF(A87="","",TEXT(A87,"YYYY-MM"))</f>
        <v>2026-05</v>
      </c>
    </row>
    <row r="88" customFormat="false" ht="15" hidden="false" customHeight="false" outlineLevel="0" collapsed="false">
      <c r="A88" s="5" t="n">
        <v>46143</v>
      </c>
      <c r="B88" s="6" t="s">
        <v>12</v>
      </c>
      <c r="C88" s="6" t="s">
        <v>86</v>
      </c>
      <c r="D88" s="7" t="n">
        <v>125</v>
      </c>
      <c r="E88" s="8" t="str">
        <f aca="false">IFERROR(INDEX(Categorias!$B:$B,MATCH(B88,Categorias!$A:$A,0)),"?")</f>
        <v>Despesa</v>
      </c>
      <c r="F88" s="8" t="str">
        <f aca="false">IF(A88="","",TEXT(A88,"YYYY-MM"))</f>
        <v>2026-05</v>
      </c>
    </row>
    <row r="89" customFormat="false" ht="15" hidden="false" customHeight="false" outlineLevel="0" collapsed="false">
      <c r="A89" s="5" t="n">
        <v>46143</v>
      </c>
      <c r="B89" s="6" t="s">
        <v>12</v>
      </c>
      <c r="C89" s="6" t="s">
        <v>87</v>
      </c>
      <c r="D89" s="7" t="n">
        <v>75</v>
      </c>
      <c r="E89" s="8" t="str">
        <f aca="false">IFERROR(INDEX(Categorias!$B:$B,MATCH(B89,Categorias!$A:$A,0)),"?")</f>
        <v>Despesa</v>
      </c>
      <c r="F89" s="8" t="str">
        <f aca="false">IF(A89="","",TEXT(A89,"YYYY-MM"))</f>
        <v>2026-05</v>
      </c>
    </row>
    <row r="90" customFormat="false" ht="15" hidden="false" customHeight="false" outlineLevel="0" collapsed="false">
      <c r="A90" s="5" t="n">
        <v>46143</v>
      </c>
      <c r="B90" s="6" t="s">
        <v>15</v>
      </c>
      <c r="C90" s="6" t="s">
        <v>88</v>
      </c>
      <c r="D90" s="7" t="n">
        <v>453.17</v>
      </c>
      <c r="E90" s="8" t="str">
        <f aca="false">IFERROR(INDEX(Categorias!$B:$B,MATCH(B90,Categorias!$A:$A,0)),"?")</f>
        <v>Despesa</v>
      </c>
      <c r="F90" s="8" t="str">
        <f aca="false">IF(A90="","",TEXT(A90,"YYYY-MM"))</f>
        <v>2026-05</v>
      </c>
    </row>
    <row r="91" customFormat="false" ht="15" hidden="false" customHeight="false" outlineLevel="0" collapsed="false">
      <c r="A91" s="5" t="n">
        <v>46143</v>
      </c>
      <c r="B91" s="6" t="s">
        <v>4</v>
      </c>
      <c r="C91" s="6" t="s">
        <v>89</v>
      </c>
      <c r="D91" s="7" t="n">
        <v>2400</v>
      </c>
      <c r="E91" s="8" t="str">
        <f aca="false">IFERROR(INDEX(Categorias!$B:$B,MATCH(B91,Categorias!$A:$A,0)),"?")</f>
        <v>Despesa</v>
      </c>
      <c r="F91" s="8" t="str">
        <f aca="false">IF(A91="","",TEXT(A91,"YYYY-MM"))</f>
        <v>2026-05</v>
      </c>
    </row>
    <row r="92" customFormat="false" ht="15" hidden="false" customHeight="false" outlineLevel="0" collapsed="false">
      <c r="A92" s="5" t="n">
        <v>46143</v>
      </c>
      <c r="B92" s="6" t="s">
        <v>4</v>
      </c>
      <c r="C92" s="6" t="s">
        <v>90</v>
      </c>
      <c r="D92" s="7" t="n">
        <v>190</v>
      </c>
      <c r="E92" s="8" t="str">
        <f aca="false">IFERROR(INDEX(Categorias!$B:$B,MATCH(B92,Categorias!$A:$A,0)),"?")</f>
        <v>Despesa</v>
      </c>
      <c r="F92" s="8" t="str">
        <f aca="false">IF(A92="","",TEXT(A92,"YYYY-MM"))</f>
        <v>2026-05</v>
      </c>
    </row>
    <row r="93" customFormat="false" ht="15" hidden="false" customHeight="false" outlineLevel="0" collapsed="false">
      <c r="A93" s="5" t="n">
        <v>46143</v>
      </c>
      <c r="B93" s="6" t="s">
        <v>6</v>
      </c>
      <c r="C93" s="6" t="s">
        <v>54</v>
      </c>
      <c r="D93" s="7" t="n">
        <v>1400</v>
      </c>
      <c r="E93" s="8" t="str">
        <f aca="false">IFERROR(INDEX(Categorias!$B:$B,MATCH(B93,Categorias!$A:$A,0)),"?")</f>
        <v>Despesa</v>
      </c>
      <c r="F93" s="8" t="str">
        <f aca="false">IF(A93="","",TEXT(A93,"YYYY-MM"))</f>
        <v>2026-05</v>
      </c>
    </row>
    <row r="94" customFormat="false" ht="15" hidden="false" customHeight="false" outlineLevel="0" collapsed="false">
      <c r="A94" s="5" t="n">
        <v>46143</v>
      </c>
      <c r="B94" s="6" t="s">
        <v>8</v>
      </c>
      <c r="C94" s="6" t="s">
        <v>91</v>
      </c>
      <c r="D94" s="7" t="n">
        <v>3434.25</v>
      </c>
      <c r="E94" s="8" t="str">
        <f aca="false">IFERROR(INDEX(Categorias!$B:$B,MATCH(B94,Categorias!$A:$A,0)),"?")</f>
        <v>Despesa</v>
      </c>
      <c r="F94" s="8" t="str">
        <f aca="false">IF(A94="","",TEXT(A94,"YYYY-MM"))</f>
        <v>2026-05</v>
      </c>
    </row>
    <row r="95" customFormat="false" ht="15" hidden="false" customHeight="false" outlineLevel="0" collapsed="false">
      <c r="A95" s="5" t="n">
        <v>46143</v>
      </c>
      <c r="B95" s="6" t="s">
        <v>8</v>
      </c>
      <c r="C95" s="6" t="s">
        <v>91</v>
      </c>
      <c r="D95" s="7" t="n">
        <v>3315.24</v>
      </c>
      <c r="E95" s="8" t="str">
        <f aca="false">IFERROR(INDEX(Categorias!$B:$B,MATCH(B95,Categorias!$A:$A,0)),"?")</f>
        <v>Despesa</v>
      </c>
      <c r="F95" s="8" t="str">
        <f aca="false">IF(A95="","",TEXT(A95,"YYYY-MM"))</f>
        <v>2026-05</v>
      </c>
    </row>
    <row r="96" customFormat="false" ht="15" hidden="false" customHeight="false" outlineLevel="0" collapsed="false">
      <c r="A96" s="5" t="n">
        <v>46143</v>
      </c>
      <c r="B96" s="6" t="s">
        <v>4</v>
      </c>
      <c r="C96" s="6" t="s">
        <v>92</v>
      </c>
      <c r="D96" s="7" t="n">
        <v>2000</v>
      </c>
      <c r="E96" s="8" t="str">
        <f aca="false">IFERROR(INDEX(Categorias!$B:$B,MATCH(B96,Categorias!$A:$A,0)),"?")</f>
        <v>Despesa</v>
      </c>
      <c r="F96" s="8" t="str">
        <f aca="false">IF(A96="","",TEXT(A96,"YYYY-MM"))</f>
        <v>2026-05</v>
      </c>
    </row>
    <row r="97" customFormat="false" ht="15" hidden="false" customHeight="false" outlineLevel="0" collapsed="false">
      <c r="A97" s="5" t="n">
        <v>46174</v>
      </c>
      <c r="B97" s="6" t="s">
        <v>2</v>
      </c>
      <c r="C97" s="6" t="s">
        <v>93</v>
      </c>
      <c r="D97" s="7" t="n">
        <v>65905.21</v>
      </c>
      <c r="E97" s="8" t="str">
        <f aca="false">IFERROR(INDEX(Categorias!$B:$B,MATCH(B97,Categorias!$A:$A,0)),"?")</f>
        <v>Receita</v>
      </c>
      <c r="F97" s="8" t="str">
        <f aca="false">IF(A97="","",TEXT(A97,"YYYY-MM"))</f>
        <v>2026-06</v>
      </c>
    </row>
    <row r="98" customFormat="false" ht="15" hidden="false" customHeight="false" outlineLevel="0" collapsed="false">
      <c r="A98" s="5" t="n">
        <v>46174</v>
      </c>
      <c r="B98" s="6" t="s">
        <v>2</v>
      </c>
      <c r="C98" s="6" t="s">
        <v>94</v>
      </c>
      <c r="D98" s="7" t="n">
        <v>2462.3</v>
      </c>
      <c r="E98" s="8" t="str">
        <f aca="false">IFERROR(INDEX(Categorias!$B:$B,MATCH(B98,Categorias!$A:$A,0)),"?")</f>
        <v>Receita</v>
      </c>
      <c r="F98" s="8" t="str">
        <f aca="false">IF(A98="","",TEXT(A98,"YYYY-MM"))</f>
        <v>2026-06</v>
      </c>
    </row>
    <row r="99" customFormat="false" ht="15" hidden="false" customHeight="false" outlineLevel="0" collapsed="false">
      <c r="A99" s="5" t="n">
        <v>46174</v>
      </c>
      <c r="B99" s="6" t="s">
        <v>4</v>
      </c>
      <c r="C99" s="6" t="s">
        <v>95</v>
      </c>
      <c r="D99" s="7" t="n">
        <v>214.64</v>
      </c>
      <c r="E99" s="8" t="str">
        <f aca="false">IFERROR(INDEX(Categorias!$B:$B,MATCH(B99,Categorias!$A:$A,0)),"?")</f>
        <v>Despesa</v>
      </c>
      <c r="F99" s="8" t="str">
        <f aca="false">IF(A99="","",TEXT(A99,"YYYY-MM"))</f>
        <v>2026-06</v>
      </c>
    </row>
    <row r="100" customFormat="false" ht="15" hidden="false" customHeight="false" outlineLevel="0" collapsed="false">
      <c r="A100" s="5" t="n">
        <v>46174</v>
      </c>
      <c r="B100" s="6" t="s">
        <v>10</v>
      </c>
      <c r="C100" s="6" t="s">
        <v>96</v>
      </c>
      <c r="D100" s="7" t="n">
        <v>222.62</v>
      </c>
      <c r="E100" s="8" t="str">
        <f aca="false">IFERROR(INDEX(Categorias!$B:$B,MATCH(B100,Categorias!$A:$A,0)),"?")</f>
        <v>Despesa</v>
      </c>
      <c r="F100" s="8" t="str">
        <f aca="false">IF(A100="","",TEXT(A100,"YYYY-MM"))</f>
        <v>2026-06</v>
      </c>
    </row>
    <row r="101" customFormat="false" ht="15" hidden="false" customHeight="false" outlineLevel="0" collapsed="false">
      <c r="A101" s="5" t="n">
        <v>46174</v>
      </c>
      <c r="B101" s="6" t="s">
        <v>4</v>
      </c>
      <c r="C101" s="6" t="s">
        <v>97</v>
      </c>
      <c r="D101" s="7" t="n">
        <v>136.2</v>
      </c>
      <c r="E101" s="8" t="str">
        <f aca="false">IFERROR(INDEX(Categorias!$B:$B,MATCH(B101,Categorias!$A:$A,0)),"?")</f>
        <v>Despesa</v>
      </c>
      <c r="F101" s="8" t="str">
        <f aca="false">IF(A101="","",TEXT(A101,"YYYY-MM"))</f>
        <v>2026-06</v>
      </c>
    </row>
    <row r="102" customFormat="false" ht="15" hidden="false" customHeight="false" outlineLevel="0" collapsed="false">
      <c r="A102" s="5" t="n">
        <v>46174</v>
      </c>
      <c r="B102" s="6" t="s">
        <v>4</v>
      </c>
      <c r="C102" s="6" t="s">
        <v>95</v>
      </c>
      <c r="D102" s="7" t="n">
        <v>306.53</v>
      </c>
      <c r="E102" s="8" t="str">
        <f aca="false">IFERROR(INDEX(Categorias!$B:$B,MATCH(B102,Categorias!$A:$A,0)),"?")</f>
        <v>Despesa</v>
      </c>
      <c r="F102" s="8" t="str">
        <f aca="false">IF(A102="","",TEXT(A102,"YYYY-MM"))</f>
        <v>2026-06</v>
      </c>
    </row>
    <row r="103" customFormat="false" ht="15" hidden="false" customHeight="false" outlineLevel="0" collapsed="false">
      <c r="A103" s="5" t="n">
        <v>46174</v>
      </c>
      <c r="B103" s="6" t="s">
        <v>4</v>
      </c>
      <c r="C103" s="6" t="s">
        <v>95</v>
      </c>
      <c r="D103" s="7" t="n">
        <v>825</v>
      </c>
      <c r="E103" s="8" t="str">
        <f aca="false">IFERROR(INDEX(Categorias!$B:$B,MATCH(B103,Categorias!$A:$A,0)),"?")</f>
        <v>Despesa</v>
      </c>
      <c r="F103" s="8" t="str">
        <f aca="false">IF(A103="","",TEXT(A103,"YYYY-MM"))</f>
        <v>2026-06</v>
      </c>
    </row>
    <row r="104" customFormat="false" ht="15" hidden="false" customHeight="false" outlineLevel="0" collapsed="false">
      <c r="A104" s="5" t="n">
        <v>46174</v>
      </c>
      <c r="B104" s="6" t="s">
        <v>6</v>
      </c>
      <c r="C104" s="6" t="s">
        <v>98</v>
      </c>
      <c r="D104" s="7" t="n">
        <v>443.5</v>
      </c>
      <c r="E104" s="8" t="str">
        <f aca="false">IFERROR(INDEX(Categorias!$B:$B,MATCH(B104,Categorias!$A:$A,0)),"?")</f>
        <v>Despesa</v>
      </c>
      <c r="F104" s="8" t="str">
        <f aca="false">IF(A104="","",TEXT(A104,"YYYY-MM"))</f>
        <v>2026-06</v>
      </c>
    </row>
    <row r="105" customFormat="false" ht="15" hidden="false" customHeight="false" outlineLevel="0" collapsed="false">
      <c r="A105" s="5" t="n">
        <v>46174</v>
      </c>
      <c r="B105" s="6" t="s">
        <v>4</v>
      </c>
      <c r="C105" s="6" t="s">
        <v>99</v>
      </c>
      <c r="D105" s="7" t="n">
        <v>375</v>
      </c>
      <c r="E105" s="8" t="str">
        <f aca="false">IFERROR(INDEX(Categorias!$B:$B,MATCH(B105,Categorias!$A:$A,0)),"?")</f>
        <v>Despesa</v>
      </c>
      <c r="F105" s="8" t="str">
        <f aca="false">IF(A105="","",TEXT(A105,"YYYY-MM"))</f>
        <v>2026-06</v>
      </c>
    </row>
    <row r="106" customFormat="false" ht="15" hidden="false" customHeight="false" outlineLevel="0" collapsed="false">
      <c r="A106" s="5" t="n">
        <v>46174</v>
      </c>
      <c r="B106" s="6" t="s">
        <v>4</v>
      </c>
      <c r="C106" s="6" t="s">
        <v>99</v>
      </c>
      <c r="D106" s="7" t="n">
        <v>259.34</v>
      </c>
      <c r="E106" s="8" t="str">
        <f aca="false">IFERROR(INDEX(Categorias!$B:$B,MATCH(B106,Categorias!$A:$A,0)),"?")</f>
        <v>Despesa</v>
      </c>
      <c r="F106" s="8" t="str">
        <f aca="false">IF(A106="","",TEXT(A106,"YYYY-MM"))</f>
        <v>2026-06</v>
      </c>
    </row>
    <row r="107" customFormat="false" ht="15" hidden="false" customHeight="false" outlineLevel="0" collapsed="false">
      <c r="A107" s="5" t="n">
        <v>46174</v>
      </c>
      <c r="B107" s="6" t="s">
        <v>11</v>
      </c>
      <c r="C107" s="6" t="s">
        <v>100</v>
      </c>
      <c r="D107" s="7" t="n">
        <v>500</v>
      </c>
      <c r="E107" s="8" t="str">
        <f aca="false">IFERROR(INDEX(Categorias!$B:$B,MATCH(B107,Categorias!$A:$A,0)),"?")</f>
        <v>Despesa</v>
      </c>
      <c r="F107" s="8" t="str">
        <f aca="false">IF(A107="","",TEXT(A107,"YYYY-MM"))</f>
        <v>2026-06</v>
      </c>
    </row>
    <row r="108" customFormat="false" ht="15" hidden="false" customHeight="false" outlineLevel="0" collapsed="false">
      <c r="A108" s="5" t="n">
        <v>46174</v>
      </c>
      <c r="B108" s="6" t="s">
        <v>11</v>
      </c>
      <c r="C108" s="6" t="s">
        <v>101</v>
      </c>
      <c r="D108" s="7" t="n">
        <v>246.8</v>
      </c>
      <c r="E108" s="8" t="str">
        <f aca="false">IFERROR(INDEX(Categorias!$B:$B,MATCH(B108,Categorias!$A:$A,0)),"?")</f>
        <v>Despesa</v>
      </c>
      <c r="F108" s="8" t="str">
        <f aca="false">IF(A108="","",TEXT(A108,"YYYY-MM"))</f>
        <v>2026-06</v>
      </c>
    </row>
    <row r="109" customFormat="false" ht="15" hidden="false" customHeight="false" outlineLevel="0" collapsed="false">
      <c r="A109" s="5" t="n">
        <v>46174</v>
      </c>
      <c r="B109" s="6" t="s">
        <v>11</v>
      </c>
      <c r="C109" s="6" t="s">
        <v>102</v>
      </c>
      <c r="D109" s="7" t="n">
        <v>256</v>
      </c>
      <c r="E109" s="8" t="str">
        <f aca="false">IFERROR(INDEX(Categorias!$B:$B,MATCH(B109,Categorias!$A:$A,0)),"?")</f>
        <v>Despesa</v>
      </c>
      <c r="F109" s="8" t="str">
        <f aca="false">IF(A109="","",TEXT(A109,"YYYY-MM"))</f>
        <v>2026-06</v>
      </c>
    </row>
    <row r="110" customFormat="false" ht="15" hidden="false" customHeight="false" outlineLevel="0" collapsed="false">
      <c r="A110" s="5" t="n">
        <v>46174</v>
      </c>
      <c r="B110" s="6" t="s">
        <v>11</v>
      </c>
      <c r="C110" s="6" t="s">
        <v>103</v>
      </c>
      <c r="D110" s="7" t="n">
        <v>1185</v>
      </c>
      <c r="E110" s="8" t="str">
        <f aca="false">IFERROR(INDEX(Categorias!$B:$B,MATCH(B110,Categorias!$A:$A,0)),"?")</f>
        <v>Despesa</v>
      </c>
      <c r="F110" s="8" t="str">
        <f aca="false">IF(A110="","",TEXT(A110,"YYYY-MM"))</f>
        <v>2026-06</v>
      </c>
    </row>
    <row r="111" customFormat="false" ht="15" hidden="false" customHeight="false" outlineLevel="0" collapsed="false">
      <c r="A111" s="5" t="n">
        <v>46174</v>
      </c>
      <c r="B111" s="6" t="s">
        <v>11</v>
      </c>
      <c r="C111" s="6" t="s">
        <v>104</v>
      </c>
      <c r="D111" s="7" t="n">
        <v>247.8</v>
      </c>
      <c r="E111" s="8" t="str">
        <f aca="false">IFERROR(INDEX(Categorias!$B:$B,MATCH(B111,Categorias!$A:$A,0)),"?")</f>
        <v>Despesa</v>
      </c>
      <c r="F111" s="8" t="str">
        <f aca="false">IF(A111="","",TEXT(A111,"YYYY-MM"))</f>
        <v>2026-06</v>
      </c>
    </row>
    <row r="112" customFormat="false" ht="15" hidden="false" customHeight="false" outlineLevel="0" collapsed="false">
      <c r="A112" s="5" t="n">
        <v>46174</v>
      </c>
      <c r="B112" s="6" t="s">
        <v>11</v>
      </c>
      <c r="C112" s="6" t="s">
        <v>105</v>
      </c>
      <c r="D112" s="7" t="n">
        <v>256</v>
      </c>
      <c r="E112" s="8" t="str">
        <f aca="false">IFERROR(INDEX(Categorias!$B:$B,MATCH(B112,Categorias!$A:$A,0)),"?")</f>
        <v>Despesa</v>
      </c>
      <c r="F112" s="8" t="str">
        <f aca="false">IF(A112="","",TEXT(A112,"YYYY-MM"))</f>
        <v>2026-06</v>
      </c>
    </row>
    <row r="113" customFormat="false" ht="15" hidden="false" customHeight="false" outlineLevel="0" collapsed="false">
      <c r="A113" s="5" t="n">
        <v>46174</v>
      </c>
      <c r="B113" s="6" t="s">
        <v>11</v>
      </c>
      <c r="C113" s="6" t="s">
        <v>106</v>
      </c>
      <c r="D113" s="7" t="n">
        <v>1846.2</v>
      </c>
      <c r="E113" s="8" t="str">
        <f aca="false">IFERROR(INDEX(Categorias!$B:$B,MATCH(B113,Categorias!$A:$A,0)),"?")</f>
        <v>Despesa</v>
      </c>
      <c r="F113" s="8" t="str">
        <f aca="false">IF(A113="","",TEXT(A113,"YYYY-MM"))</f>
        <v>2026-06</v>
      </c>
    </row>
    <row r="114" customFormat="false" ht="15" hidden="false" customHeight="false" outlineLevel="0" collapsed="false">
      <c r="A114" s="5" t="n">
        <v>46174</v>
      </c>
      <c r="B114" s="6" t="s">
        <v>11</v>
      </c>
      <c r="C114" s="6" t="s">
        <v>107</v>
      </c>
      <c r="D114" s="7" t="n">
        <v>247.8</v>
      </c>
      <c r="E114" s="8" t="str">
        <f aca="false">IFERROR(INDEX(Categorias!$B:$B,MATCH(B114,Categorias!$A:$A,0)),"?")</f>
        <v>Despesa</v>
      </c>
      <c r="F114" s="8" t="str">
        <f aca="false">IF(A114="","",TEXT(A114,"YYYY-MM"))</f>
        <v>2026-06</v>
      </c>
    </row>
    <row r="115" customFormat="false" ht="15" hidden="false" customHeight="false" outlineLevel="0" collapsed="false">
      <c r="A115" s="5" t="n">
        <v>46174</v>
      </c>
      <c r="B115" s="6" t="s">
        <v>11</v>
      </c>
      <c r="C115" s="6" t="s">
        <v>108</v>
      </c>
      <c r="D115" s="7" t="n">
        <v>256</v>
      </c>
      <c r="E115" s="8" t="str">
        <f aca="false">IFERROR(INDEX(Categorias!$B:$B,MATCH(B115,Categorias!$A:$A,0)),"?")</f>
        <v>Despesa</v>
      </c>
      <c r="F115" s="8" t="str">
        <f aca="false">IF(A115="","",TEXT(A115,"YYYY-MM"))</f>
        <v>2026-06</v>
      </c>
    </row>
    <row r="116" customFormat="false" ht="15" hidden="false" customHeight="false" outlineLevel="0" collapsed="false">
      <c r="A116" s="5" t="n">
        <v>46174</v>
      </c>
      <c r="B116" s="6" t="s">
        <v>11</v>
      </c>
      <c r="C116" s="6" t="s">
        <v>37</v>
      </c>
      <c r="D116" s="7" t="n">
        <v>1862</v>
      </c>
      <c r="E116" s="8" t="str">
        <f aca="false">IFERROR(INDEX(Categorias!$B:$B,MATCH(B116,Categorias!$A:$A,0)),"?")</f>
        <v>Despesa</v>
      </c>
      <c r="F116" s="8" t="str">
        <f aca="false">IF(A116="","",TEXT(A116,"YYYY-MM"))</f>
        <v>2026-06</v>
      </c>
    </row>
    <row r="117" customFormat="false" ht="15" hidden="false" customHeight="false" outlineLevel="0" collapsed="false">
      <c r="A117" s="5" t="n">
        <v>46174</v>
      </c>
      <c r="B117" s="6" t="s">
        <v>12</v>
      </c>
      <c r="C117" s="6" t="s">
        <v>109</v>
      </c>
      <c r="D117" s="7" t="n">
        <v>150</v>
      </c>
      <c r="E117" s="8" t="str">
        <f aca="false">IFERROR(INDEX(Categorias!$B:$B,MATCH(B117,Categorias!$A:$A,0)),"?")</f>
        <v>Despesa</v>
      </c>
      <c r="F117" s="8" t="str">
        <f aca="false">IF(A117="","",TEXT(A117,"YYYY-MM"))</f>
        <v>2026-06</v>
      </c>
    </row>
    <row r="118" customFormat="false" ht="15" hidden="false" customHeight="false" outlineLevel="0" collapsed="false">
      <c r="A118" s="5" t="n">
        <v>46174</v>
      </c>
      <c r="B118" s="6" t="s">
        <v>12</v>
      </c>
      <c r="C118" s="6" t="s">
        <v>110</v>
      </c>
      <c r="D118" s="7" t="n">
        <v>150</v>
      </c>
      <c r="E118" s="8" t="str">
        <f aca="false">IFERROR(INDEX(Categorias!$B:$B,MATCH(B118,Categorias!$A:$A,0)),"?")</f>
        <v>Despesa</v>
      </c>
      <c r="F118" s="8" t="str">
        <f aca="false">IF(A118="","",TEXT(A118,"YYYY-MM"))</f>
        <v>2026-06</v>
      </c>
    </row>
    <row r="119" customFormat="false" ht="15" hidden="false" customHeight="false" outlineLevel="0" collapsed="false">
      <c r="A119" s="5" t="n">
        <v>46174</v>
      </c>
      <c r="B119" s="6" t="s">
        <v>12</v>
      </c>
      <c r="C119" s="6" t="s">
        <v>111</v>
      </c>
      <c r="D119" s="7" t="n">
        <v>125</v>
      </c>
      <c r="E119" s="8" t="str">
        <f aca="false">IFERROR(INDEX(Categorias!$B:$B,MATCH(B119,Categorias!$A:$A,0)),"?")</f>
        <v>Despesa</v>
      </c>
      <c r="F119" s="8" t="str">
        <f aca="false">IF(A119="","",TEXT(A119,"YYYY-MM"))</f>
        <v>2026-06</v>
      </c>
    </row>
    <row r="120" customFormat="false" ht="15" hidden="false" customHeight="false" outlineLevel="0" collapsed="false">
      <c r="A120" s="5" t="n">
        <v>46174</v>
      </c>
      <c r="B120" s="6" t="s">
        <v>12</v>
      </c>
      <c r="C120" s="6" t="s">
        <v>112</v>
      </c>
      <c r="D120" s="7" t="n">
        <v>75</v>
      </c>
      <c r="E120" s="8" t="str">
        <f aca="false">IFERROR(INDEX(Categorias!$B:$B,MATCH(B120,Categorias!$A:$A,0)),"?")</f>
        <v>Despesa</v>
      </c>
      <c r="F120" s="8" t="str">
        <f aca="false">IF(A120="","",TEXT(A120,"YYYY-MM"))</f>
        <v>2026-06</v>
      </c>
    </row>
    <row r="121" customFormat="false" ht="15" hidden="false" customHeight="false" outlineLevel="0" collapsed="false">
      <c r="A121" s="5" t="n">
        <v>46174</v>
      </c>
      <c r="B121" s="6" t="s">
        <v>4</v>
      </c>
      <c r="C121" s="6" t="s">
        <v>43</v>
      </c>
      <c r="D121" s="7" t="n">
        <v>404.5</v>
      </c>
      <c r="E121" s="8" t="str">
        <f aca="false">IFERROR(INDEX(Categorias!$B:$B,MATCH(B121,Categorias!$A:$A,0)),"?")</f>
        <v>Despesa</v>
      </c>
      <c r="F121" s="8" t="str">
        <f aca="false">IF(A121="","",TEXT(A121,"YYYY-MM"))</f>
        <v>2026-06</v>
      </c>
    </row>
    <row r="122" customFormat="false" ht="15" hidden="false" customHeight="false" outlineLevel="0" collapsed="false">
      <c r="A122" s="5" t="n">
        <v>46174</v>
      </c>
      <c r="B122" s="6" t="s">
        <v>13</v>
      </c>
      <c r="C122" s="6" t="s">
        <v>113</v>
      </c>
      <c r="D122" s="7" t="n">
        <v>4000</v>
      </c>
      <c r="E122" s="8" t="str">
        <f aca="false">IFERROR(INDEX(Categorias!$B:$B,MATCH(B122,Categorias!$A:$A,0)),"?")</f>
        <v>Despesa</v>
      </c>
      <c r="F122" s="8" t="str">
        <f aca="false">IF(A122="","",TEXT(A122,"YYYY-MM"))</f>
        <v>2026-06</v>
      </c>
    </row>
    <row r="123" customFormat="false" ht="15" hidden="false" customHeight="false" outlineLevel="0" collapsed="false">
      <c r="A123" s="5" t="n">
        <v>46174</v>
      </c>
      <c r="B123" s="6" t="s">
        <v>13</v>
      </c>
      <c r="C123" s="6" t="s">
        <v>114</v>
      </c>
      <c r="D123" s="7" t="n">
        <v>5000</v>
      </c>
      <c r="E123" s="8" t="str">
        <f aca="false">IFERROR(INDEX(Categorias!$B:$B,MATCH(B123,Categorias!$A:$A,0)),"?")</f>
        <v>Despesa</v>
      </c>
      <c r="F123" s="8" t="str">
        <f aca="false">IF(A123="","",TEXT(A123,"YYYY-MM"))</f>
        <v>2026-06</v>
      </c>
    </row>
    <row r="124" customFormat="false" ht="15" hidden="false" customHeight="false" outlineLevel="0" collapsed="false">
      <c r="A124" s="5" t="n">
        <v>46174</v>
      </c>
      <c r="B124" s="6" t="s">
        <v>15</v>
      </c>
      <c r="C124" s="6" t="s">
        <v>115</v>
      </c>
      <c r="D124" s="7" t="n">
        <v>550</v>
      </c>
      <c r="E124" s="8" t="str">
        <f aca="false">IFERROR(INDEX(Categorias!$B:$B,MATCH(B124,Categorias!$A:$A,0)),"?")</f>
        <v>Despesa</v>
      </c>
      <c r="F124" s="8" t="str">
        <f aca="false">IF(A124="","",TEXT(A124,"YYYY-MM"))</f>
        <v>2026-06</v>
      </c>
    </row>
    <row r="125" customFormat="false" ht="15" hidden="false" customHeight="false" outlineLevel="0" collapsed="false">
      <c r="A125" s="5" t="n">
        <v>46174</v>
      </c>
      <c r="B125" s="6" t="s">
        <v>4</v>
      </c>
      <c r="C125" s="6" t="s">
        <v>116</v>
      </c>
      <c r="D125" s="7" t="n">
        <v>2980</v>
      </c>
      <c r="E125" s="8" t="str">
        <f aca="false">IFERROR(INDEX(Categorias!$B:$B,MATCH(B125,Categorias!$A:$A,0)),"?")</f>
        <v>Despesa</v>
      </c>
      <c r="F125" s="8" t="str">
        <f aca="false">IF(A125="","",TEXT(A125,"YYYY-MM"))</f>
        <v>2026-06</v>
      </c>
    </row>
    <row r="126" customFormat="false" ht="15" hidden="false" customHeight="false" outlineLevel="0" collapsed="false">
      <c r="A126" s="5" t="n">
        <v>46174</v>
      </c>
      <c r="B126" s="6" t="s">
        <v>4</v>
      </c>
      <c r="C126" s="6" t="s">
        <v>117</v>
      </c>
      <c r="D126" s="7" t="n">
        <v>3852</v>
      </c>
      <c r="E126" s="8" t="str">
        <f aca="false">IFERROR(INDEX(Categorias!$B:$B,MATCH(B126,Categorias!$A:$A,0)),"?")</f>
        <v>Despesa</v>
      </c>
      <c r="F126" s="8" t="str">
        <f aca="false">IF(A126="","",TEXT(A126,"YYYY-MM"))</f>
        <v>2026-06</v>
      </c>
    </row>
    <row r="127" customFormat="false" ht="15" hidden="false" customHeight="false" outlineLevel="0" collapsed="false">
      <c r="A127" s="5" t="n">
        <v>46174</v>
      </c>
      <c r="B127" s="6" t="s">
        <v>4</v>
      </c>
      <c r="C127" s="6" t="s">
        <v>118</v>
      </c>
      <c r="D127" s="7" t="n">
        <v>2203.8</v>
      </c>
      <c r="E127" s="8" t="str">
        <f aca="false">IFERROR(INDEX(Categorias!$B:$B,MATCH(B127,Categorias!$A:$A,0)),"?")</f>
        <v>Despesa</v>
      </c>
      <c r="F127" s="8" t="str">
        <f aca="false">IF(A127="","",TEXT(A127,"YYYY-MM"))</f>
        <v>2026-06</v>
      </c>
    </row>
    <row r="128" customFormat="false" ht="15" hidden="false" customHeight="false" outlineLevel="0" collapsed="false">
      <c r="A128" s="5" t="n">
        <v>46174</v>
      </c>
      <c r="B128" s="6" t="s">
        <v>4</v>
      </c>
      <c r="C128" s="6" t="s">
        <v>45</v>
      </c>
      <c r="D128" s="7" t="n">
        <v>1120</v>
      </c>
      <c r="E128" s="8" t="str">
        <f aca="false">IFERROR(INDEX(Categorias!$B:$B,MATCH(B128,Categorias!$A:$A,0)),"?")</f>
        <v>Despesa</v>
      </c>
      <c r="F128" s="8" t="str">
        <f aca="false">IF(A128="","",TEXT(A128,"YYYY-MM"))</f>
        <v>2026-06</v>
      </c>
    </row>
    <row r="129" customFormat="false" ht="15" hidden="false" customHeight="false" outlineLevel="0" collapsed="false">
      <c r="A129" s="5" t="n">
        <v>46174</v>
      </c>
      <c r="B129" s="6" t="s">
        <v>4</v>
      </c>
      <c r="C129" s="6" t="s">
        <v>119</v>
      </c>
      <c r="D129" s="7" t="n">
        <v>2400</v>
      </c>
      <c r="E129" s="8" t="str">
        <f aca="false">IFERROR(INDEX(Categorias!$B:$B,MATCH(B129,Categorias!$A:$A,0)),"?")</f>
        <v>Despesa</v>
      </c>
      <c r="F129" s="8" t="str">
        <f aca="false">IF(A129="","",TEXT(A129,"YYYY-MM"))</f>
        <v>2026-06</v>
      </c>
    </row>
    <row r="130" customFormat="false" ht="15" hidden="false" customHeight="false" outlineLevel="0" collapsed="false">
      <c r="A130" s="5" t="n">
        <v>46174</v>
      </c>
      <c r="B130" s="6" t="s">
        <v>7</v>
      </c>
      <c r="C130" s="6" t="s">
        <v>120</v>
      </c>
      <c r="D130" s="7" t="n">
        <v>102</v>
      </c>
      <c r="E130" s="8" t="str">
        <f aca="false">IFERROR(INDEX(Categorias!$B:$B,MATCH(B130,Categorias!$A:$A,0)),"?")</f>
        <v>Despesa</v>
      </c>
      <c r="F130" s="8" t="str">
        <f aca="false">IF(A130="","",TEXT(A130,"YYYY-MM"))</f>
        <v>2026-06</v>
      </c>
    </row>
    <row r="131" customFormat="false" ht="15" hidden="false" customHeight="false" outlineLevel="0" collapsed="false">
      <c r="A131" s="5" t="n">
        <v>46174</v>
      </c>
      <c r="B131" s="6" t="s">
        <v>4</v>
      </c>
      <c r="C131" s="6" t="s">
        <v>121</v>
      </c>
      <c r="D131" s="7" t="n">
        <v>368.93</v>
      </c>
      <c r="E131" s="8" t="str">
        <f aca="false">IFERROR(INDEX(Categorias!$B:$B,MATCH(B131,Categorias!$A:$A,0)),"?")</f>
        <v>Despesa</v>
      </c>
      <c r="F131" s="8" t="str">
        <f aca="false">IF(A131="","",TEXT(A131,"YYYY-MM"))</f>
        <v>2026-06</v>
      </c>
    </row>
    <row r="132" customFormat="false" ht="15" hidden="false" customHeight="false" outlineLevel="0" collapsed="false">
      <c r="A132" s="5" t="n">
        <v>46174</v>
      </c>
      <c r="B132" s="6" t="s">
        <v>11</v>
      </c>
      <c r="C132" s="6" t="s">
        <v>122</v>
      </c>
      <c r="D132" s="7" t="n">
        <v>1293.26</v>
      </c>
      <c r="E132" s="8" t="str">
        <f aca="false">IFERROR(INDEX(Categorias!$B:$B,MATCH(B132,Categorias!$A:$A,0)),"?")</f>
        <v>Despesa</v>
      </c>
      <c r="F132" s="8" t="str">
        <f aca="false">IF(A132="","",TEXT(A132,"YYYY-MM"))</f>
        <v>2026-06</v>
      </c>
    </row>
    <row r="133" customFormat="false" ht="15" hidden="false" customHeight="false" outlineLevel="0" collapsed="false">
      <c r="A133" s="5" t="n">
        <v>46174</v>
      </c>
      <c r="B133" s="6" t="s">
        <v>11</v>
      </c>
      <c r="C133" s="6" t="s">
        <v>123</v>
      </c>
      <c r="D133" s="7" t="n">
        <v>1528.71</v>
      </c>
      <c r="E133" s="8" t="str">
        <f aca="false">IFERROR(INDEX(Categorias!$B:$B,MATCH(B133,Categorias!$A:$A,0)),"?")</f>
        <v>Despesa</v>
      </c>
      <c r="F133" s="8" t="str">
        <f aca="false">IF(A133="","",TEXT(A133,"YYYY-MM"))</f>
        <v>2026-06</v>
      </c>
    </row>
    <row r="134" customFormat="false" ht="15" hidden="false" customHeight="false" outlineLevel="0" collapsed="false">
      <c r="A134" s="5" t="n">
        <v>46174</v>
      </c>
      <c r="B134" s="6" t="s">
        <v>14</v>
      </c>
      <c r="C134" s="6" t="s">
        <v>124</v>
      </c>
      <c r="D134" s="7" t="n">
        <v>1079.34</v>
      </c>
      <c r="E134" s="8" t="str">
        <f aca="false">IFERROR(INDEX(Categorias!$B:$B,MATCH(B134,Categorias!$A:$A,0)),"?")</f>
        <v>Despesa</v>
      </c>
      <c r="F134" s="8" t="str">
        <f aca="false">IF(A134="","",TEXT(A134,"YYYY-MM"))</f>
        <v>2026-06</v>
      </c>
    </row>
    <row r="135" customFormat="false" ht="15" hidden="false" customHeight="false" outlineLevel="0" collapsed="false">
      <c r="A135" s="5" t="n">
        <v>46174</v>
      </c>
      <c r="B135" s="6" t="s">
        <v>7</v>
      </c>
      <c r="C135" s="6" t="s">
        <v>125</v>
      </c>
      <c r="D135" s="7" t="n">
        <v>547.15</v>
      </c>
      <c r="E135" s="8" t="str">
        <f aca="false">IFERROR(INDEX(Categorias!$B:$B,MATCH(B135,Categorias!$A:$A,0)),"?")</f>
        <v>Despesa</v>
      </c>
      <c r="F135" s="8" t="str">
        <f aca="false">IF(A135="","",TEXT(A135,"YYYY-MM"))</f>
        <v>2026-06</v>
      </c>
    </row>
    <row r="136" customFormat="false" ht="15" hidden="false" customHeight="false" outlineLevel="0" collapsed="false">
      <c r="A136" s="5" t="n">
        <v>46174</v>
      </c>
      <c r="B136" s="6" t="s">
        <v>7</v>
      </c>
      <c r="C136" s="6" t="s">
        <v>126</v>
      </c>
      <c r="D136" s="7" t="n">
        <v>109.15</v>
      </c>
      <c r="E136" s="8" t="str">
        <f aca="false">IFERROR(INDEX(Categorias!$B:$B,MATCH(B136,Categorias!$A:$A,0)),"?")</f>
        <v>Despesa</v>
      </c>
      <c r="F136" s="8" t="str">
        <f aca="false">IF(A136="","",TEXT(A136,"YYYY-MM"))</f>
        <v>2026-06</v>
      </c>
    </row>
    <row r="137" customFormat="false" ht="15" hidden="false" customHeight="false" outlineLevel="0" collapsed="false">
      <c r="A137" s="5" t="n">
        <v>46174</v>
      </c>
      <c r="B137" s="6" t="s">
        <v>15</v>
      </c>
      <c r="C137" s="6" t="s">
        <v>127</v>
      </c>
      <c r="D137" s="7" t="n">
        <v>176.5</v>
      </c>
      <c r="E137" s="8" t="str">
        <f aca="false">IFERROR(INDEX(Categorias!$B:$B,MATCH(B137,Categorias!$A:$A,0)),"?")</f>
        <v>Despesa</v>
      </c>
      <c r="F137" s="8" t="str">
        <f aca="false">IF(A137="","",TEXT(A137,"YYYY-MM"))</f>
        <v>2026-06</v>
      </c>
    </row>
    <row r="138" customFormat="false" ht="15" hidden="false" customHeight="false" outlineLevel="0" collapsed="false">
      <c r="A138" s="5" t="n">
        <v>46174</v>
      </c>
      <c r="B138" s="6" t="s">
        <v>15</v>
      </c>
      <c r="C138" s="6" t="s">
        <v>127</v>
      </c>
      <c r="D138" s="7" t="n">
        <v>921</v>
      </c>
      <c r="E138" s="8" t="str">
        <f aca="false">IFERROR(INDEX(Categorias!$B:$B,MATCH(B138,Categorias!$A:$A,0)),"?")</f>
        <v>Despesa</v>
      </c>
      <c r="F138" s="8" t="str">
        <f aca="false">IF(A138="","",TEXT(A138,"YYYY-MM"))</f>
        <v>2026-06</v>
      </c>
    </row>
    <row r="139" customFormat="false" ht="15" hidden="false" customHeight="false" outlineLevel="0" collapsed="false">
      <c r="A139" s="5" t="n">
        <v>46174</v>
      </c>
      <c r="B139" s="6" t="s">
        <v>15</v>
      </c>
      <c r="C139" s="6" t="s">
        <v>127</v>
      </c>
      <c r="D139" s="7" t="n">
        <v>271</v>
      </c>
      <c r="E139" s="8" t="str">
        <f aca="false">IFERROR(INDEX(Categorias!$B:$B,MATCH(B139,Categorias!$A:$A,0)),"?")</f>
        <v>Despesa</v>
      </c>
      <c r="F139" s="8" t="str">
        <f aca="false">IF(A139="","",TEXT(A139,"YYYY-MM"))</f>
        <v>2026-06</v>
      </c>
    </row>
    <row r="140" customFormat="false" ht="15" hidden="false" customHeight="false" outlineLevel="0" collapsed="false">
      <c r="A140" s="5" t="n">
        <v>46174</v>
      </c>
      <c r="B140" s="6" t="s">
        <v>10</v>
      </c>
      <c r="C140" s="6" t="s">
        <v>96</v>
      </c>
      <c r="D140" s="7" t="n">
        <v>254.37</v>
      </c>
      <c r="E140" s="8" t="str">
        <f aca="false">IFERROR(INDEX(Categorias!$B:$B,MATCH(B140,Categorias!$A:$A,0)),"?")</f>
        <v>Despesa</v>
      </c>
      <c r="F140" s="8" t="str">
        <f aca="false">IF(A140="","",TEXT(A140,"YYYY-MM"))</f>
        <v>2026-06</v>
      </c>
    </row>
    <row r="141" customFormat="false" ht="15" hidden="false" customHeight="false" outlineLevel="0" collapsed="false">
      <c r="A141" s="5" t="n">
        <v>46174</v>
      </c>
      <c r="B141" s="6" t="s">
        <v>10</v>
      </c>
      <c r="C141" s="6" t="s">
        <v>96</v>
      </c>
      <c r="D141" s="7" t="n">
        <v>357</v>
      </c>
      <c r="E141" s="8" t="str">
        <f aca="false">IFERROR(INDEX(Categorias!$B:$B,MATCH(B141,Categorias!$A:$A,0)),"?")</f>
        <v>Despesa</v>
      </c>
      <c r="F141" s="8" t="str">
        <f aca="false">IF(A141="","",TEXT(A141,"YYYY-MM"))</f>
        <v>2026-06</v>
      </c>
    </row>
    <row r="142" customFormat="false" ht="15" hidden="false" customHeight="false" outlineLevel="0" collapsed="false">
      <c r="A142" s="5" t="n">
        <v>46174</v>
      </c>
      <c r="B142" s="6" t="s">
        <v>8</v>
      </c>
      <c r="C142" s="6" t="s">
        <v>49</v>
      </c>
      <c r="D142" s="7" t="n">
        <v>3310</v>
      </c>
      <c r="E142" s="8" t="str">
        <f aca="false">IFERROR(INDEX(Categorias!$B:$B,MATCH(B142,Categorias!$A:$A,0)),"?")</f>
        <v>Despesa</v>
      </c>
      <c r="F142" s="8" t="str">
        <f aca="false">IF(A142="","",TEXT(A142,"YYYY-MM"))</f>
        <v>2026-06</v>
      </c>
    </row>
    <row r="143" customFormat="false" ht="15" hidden="false" customHeight="false" outlineLevel="0" collapsed="false">
      <c r="A143" s="5" t="n">
        <v>46174</v>
      </c>
      <c r="B143" s="6" t="s">
        <v>8</v>
      </c>
      <c r="C143" s="6" t="s">
        <v>49</v>
      </c>
      <c r="D143" s="7" t="n">
        <v>3434.21</v>
      </c>
      <c r="E143" s="8" t="str">
        <f aca="false">IFERROR(INDEX(Categorias!$B:$B,MATCH(B143,Categorias!$A:$A,0)),"?")</f>
        <v>Despesa</v>
      </c>
      <c r="F143" s="8" t="str">
        <f aca="false">IF(A143="","",TEXT(A143,"YYYY-MM"))</f>
        <v>2026-06</v>
      </c>
    </row>
    <row r="144" customFormat="false" ht="15" hidden="false" customHeight="false" outlineLevel="0" collapsed="false">
      <c r="A144" s="5" t="n">
        <v>46174</v>
      </c>
      <c r="B144" s="6" t="s">
        <v>10</v>
      </c>
      <c r="C144" s="6" t="s">
        <v>128</v>
      </c>
      <c r="D144" s="7" t="n">
        <v>195</v>
      </c>
      <c r="E144" s="8" t="str">
        <f aca="false">IFERROR(INDEX(Categorias!$B:$B,MATCH(B144,Categorias!$A:$A,0)),"?")</f>
        <v>Despesa</v>
      </c>
      <c r="F144" s="8" t="str">
        <f aca="false">IF(A144="","",TEXT(A144,"YYYY-MM"))</f>
        <v>2026-06</v>
      </c>
    </row>
    <row r="145" customFormat="false" ht="15" hidden="false" customHeight="false" outlineLevel="0" collapsed="false">
      <c r="A145" s="5" t="n">
        <v>46174</v>
      </c>
      <c r="B145" s="6" t="s">
        <v>4</v>
      </c>
      <c r="C145" s="6" t="s">
        <v>95</v>
      </c>
      <c r="D145" s="7" t="n">
        <v>663.64</v>
      </c>
      <c r="E145" s="8" t="str">
        <f aca="false">IFERROR(INDEX(Categorias!$B:$B,MATCH(B145,Categorias!$A:$A,0)),"?")</f>
        <v>Despesa</v>
      </c>
      <c r="F145" s="8" t="str">
        <f aca="false">IF(A145="","",TEXT(A145,"YYYY-MM"))</f>
        <v>2026-06</v>
      </c>
    </row>
    <row r="146" customFormat="false" ht="15" hidden="false" customHeight="false" outlineLevel="0" collapsed="false">
      <c r="A146" s="5" t="n">
        <v>46174</v>
      </c>
      <c r="B146" s="6" t="s">
        <v>15</v>
      </c>
      <c r="C146" s="6" t="s">
        <v>127</v>
      </c>
      <c r="D146" s="7" t="n">
        <v>350.52</v>
      </c>
      <c r="E146" s="8" t="str">
        <f aca="false">IFERROR(INDEX(Categorias!$B:$B,MATCH(B146,Categorias!$A:$A,0)),"?")</f>
        <v>Despesa</v>
      </c>
      <c r="F146" s="8" t="str">
        <f aca="false">IF(A146="","",TEXT(A146,"YYYY-MM"))</f>
        <v>2026-06</v>
      </c>
    </row>
    <row r="147" customFormat="false" ht="15" hidden="false" customHeight="false" outlineLevel="0" collapsed="false">
      <c r="A147" s="5" t="n">
        <v>46174</v>
      </c>
      <c r="B147" s="6" t="s">
        <v>15</v>
      </c>
      <c r="C147" s="6" t="s">
        <v>127</v>
      </c>
      <c r="D147" s="7" t="n">
        <v>350.52</v>
      </c>
      <c r="E147" s="8" t="str">
        <f aca="false">IFERROR(INDEX(Categorias!$B:$B,MATCH(B147,Categorias!$A:$A,0)),"?")</f>
        <v>Despesa</v>
      </c>
      <c r="F147" s="8" t="str">
        <f aca="false">IF(A147="","",TEXT(A147,"YYYY-MM"))</f>
        <v>2026-06</v>
      </c>
    </row>
    <row r="148" customFormat="false" ht="15" hidden="false" customHeight="false" outlineLevel="0" collapsed="false">
      <c r="A148" s="5" t="n">
        <v>46174</v>
      </c>
      <c r="B148" s="6" t="s">
        <v>4</v>
      </c>
      <c r="C148" s="6" t="s">
        <v>129</v>
      </c>
      <c r="D148" s="7" t="n">
        <v>1827.7</v>
      </c>
      <c r="E148" s="8" t="str">
        <f aca="false">IFERROR(INDEX(Categorias!$B:$B,MATCH(B148,Categorias!$A:$A,0)),"?")</f>
        <v>Despesa</v>
      </c>
      <c r="F148" s="8" t="str">
        <f aca="false">IF(A148="","",TEXT(A148,"YYYY-MM"))</f>
        <v>2026-06</v>
      </c>
    </row>
    <row r="149" customFormat="false" ht="15" hidden="false" customHeight="false" outlineLevel="0" collapsed="false">
      <c r="A149" s="5" t="n">
        <v>46174</v>
      </c>
      <c r="B149" s="6" t="s">
        <v>7</v>
      </c>
      <c r="C149" s="6" t="s">
        <v>130</v>
      </c>
      <c r="D149" s="7" t="n">
        <v>200</v>
      </c>
      <c r="E149" s="8" t="str">
        <f aca="false">IFERROR(INDEX(Categorias!$B:$B,MATCH(B149,Categorias!$A:$A,0)),"?")</f>
        <v>Despesa</v>
      </c>
      <c r="F149" s="8" t="str">
        <f aca="false">IF(A149="","",TEXT(A149,"YYYY-MM"))</f>
        <v>2026-06</v>
      </c>
    </row>
    <row r="150" customFormat="false" ht="15" hidden="false" customHeight="false" outlineLevel="0" collapsed="false">
      <c r="A150" s="5" t="n">
        <v>46174</v>
      </c>
      <c r="B150" s="6" t="s">
        <v>14</v>
      </c>
      <c r="C150" s="6" t="s">
        <v>131</v>
      </c>
      <c r="D150" s="7" t="n">
        <v>375</v>
      </c>
      <c r="E150" s="8" t="str">
        <f aca="false">IFERROR(INDEX(Categorias!$B:$B,MATCH(B150,Categorias!$A:$A,0)),"?")</f>
        <v>Despesa</v>
      </c>
      <c r="F150" s="8" t="str">
        <f aca="false">IF(A150="","",TEXT(A150,"YYYY-MM"))</f>
        <v>2026-06</v>
      </c>
    </row>
    <row r="151" customFormat="false" ht="15" hidden="false" customHeight="false" outlineLevel="0" collapsed="false">
      <c r="A151" s="5" t="n">
        <v>46174</v>
      </c>
      <c r="B151" s="6" t="s">
        <v>7</v>
      </c>
      <c r="C151" s="6" t="s">
        <v>132</v>
      </c>
      <c r="D151" s="7" t="n">
        <v>149.24</v>
      </c>
      <c r="E151" s="8" t="str">
        <f aca="false">IFERROR(INDEX(Categorias!$B:$B,MATCH(B151,Categorias!$A:$A,0)),"?")</f>
        <v>Despesa</v>
      </c>
      <c r="F151" s="8" t="str">
        <f aca="false">IF(A151="","",TEXT(A151,"YYYY-MM"))</f>
        <v>2026-06</v>
      </c>
    </row>
    <row r="152" customFormat="false" ht="15" hidden="false" customHeight="false" outlineLevel="0" collapsed="false">
      <c r="A152" s="5" t="n">
        <v>46204</v>
      </c>
      <c r="B152" s="6" t="s">
        <v>2</v>
      </c>
      <c r="C152" s="6" t="s">
        <v>93</v>
      </c>
      <c r="D152" s="7" t="n">
        <v>109740.41</v>
      </c>
      <c r="E152" s="8" t="str">
        <f aca="false">IFERROR(INDEX(Categorias!$B:$B,MATCH(B152,Categorias!$A:$A,0)),"?")</f>
        <v>Receita</v>
      </c>
      <c r="F152" s="8" t="str">
        <f aca="false">IF(A152="","",TEXT(A152,"YYYY-MM"))</f>
        <v>2026-07</v>
      </c>
    </row>
    <row r="153" customFormat="false" ht="15" hidden="false" customHeight="false" outlineLevel="0" collapsed="false">
      <c r="A153" s="5" t="n">
        <v>46204</v>
      </c>
      <c r="B153" s="6" t="s">
        <v>2</v>
      </c>
      <c r="C153" s="6" t="s">
        <v>94</v>
      </c>
      <c r="D153" s="7" t="n">
        <v>6692.17</v>
      </c>
      <c r="E153" s="8" t="str">
        <f aca="false">IFERROR(INDEX(Categorias!$B:$B,MATCH(B153,Categorias!$A:$A,0)),"?")</f>
        <v>Receita</v>
      </c>
      <c r="F153" s="8" t="str">
        <f aca="false">IF(A153="","",TEXT(A153,"YYYY-MM"))</f>
        <v>2026-07</v>
      </c>
    </row>
    <row r="154" customFormat="false" ht="15" hidden="false" customHeight="false" outlineLevel="0" collapsed="false">
      <c r="A154" s="5" t="n">
        <v>46204</v>
      </c>
      <c r="B154" s="6" t="s">
        <v>4</v>
      </c>
      <c r="C154" s="6" t="s">
        <v>133</v>
      </c>
      <c r="D154" s="7" t="n">
        <v>306.53</v>
      </c>
      <c r="E154" s="8" t="str">
        <f aca="false">IFERROR(INDEX(Categorias!$B:$B,MATCH(B154,Categorias!$A:$A,0)),"?")</f>
        <v>Despesa</v>
      </c>
      <c r="F154" s="8" t="str">
        <f aca="false">IF(A154="","",TEXT(A154,"YYYY-MM"))</f>
        <v>2026-07</v>
      </c>
    </row>
    <row r="155" customFormat="false" ht="15" hidden="false" customHeight="false" outlineLevel="0" collapsed="false">
      <c r="A155" s="5" t="n">
        <v>46204</v>
      </c>
      <c r="B155" s="6" t="s">
        <v>11</v>
      </c>
      <c r="C155" s="6" t="s">
        <v>134</v>
      </c>
      <c r="D155" s="7" t="n">
        <v>500</v>
      </c>
      <c r="E155" s="8" t="str">
        <f aca="false">IFERROR(INDEX(Categorias!$B:$B,MATCH(B155,Categorias!$A:$A,0)),"?")</f>
        <v>Despesa</v>
      </c>
      <c r="F155" s="8" t="str">
        <f aca="false">IF(A155="","",TEXT(A155,"YYYY-MM"))</f>
        <v>2026-07</v>
      </c>
    </row>
    <row r="156" customFormat="false" ht="15" hidden="false" customHeight="false" outlineLevel="0" collapsed="false">
      <c r="A156" s="5" t="n">
        <v>46204</v>
      </c>
      <c r="B156" s="6" t="s">
        <v>11</v>
      </c>
      <c r="C156" s="6" t="s">
        <v>135</v>
      </c>
      <c r="D156" s="7" t="n">
        <v>1348.5</v>
      </c>
      <c r="E156" s="8" t="str">
        <f aca="false">IFERROR(INDEX(Categorias!$B:$B,MATCH(B156,Categorias!$A:$A,0)),"?")</f>
        <v>Despesa</v>
      </c>
      <c r="F156" s="8" t="str">
        <f aca="false">IF(A156="","",TEXT(A156,"YYYY-MM"))</f>
        <v>2026-07</v>
      </c>
    </row>
    <row r="157" customFormat="false" ht="15" hidden="false" customHeight="false" outlineLevel="0" collapsed="false">
      <c r="A157" s="5" t="n">
        <v>46204</v>
      </c>
      <c r="B157" s="6" t="s">
        <v>11</v>
      </c>
      <c r="C157" s="6" t="s">
        <v>106</v>
      </c>
      <c r="D157" s="7" t="n">
        <v>871</v>
      </c>
      <c r="E157" s="8" t="str">
        <f aca="false">IFERROR(INDEX(Categorias!$B:$B,MATCH(B157,Categorias!$A:$A,0)),"?")</f>
        <v>Despesa</v>
      </c>
      <c r="F157" s="8" t="str">
        <f aca="false">IF(A157="","",TEXT(A157,"YYYY-MM"))</f>
        <v>2026-07</v>
      </c>
    </row>
    <row r="158" customFormat="false" ht="15" hidden="false" customHeight="false" outlineLevel="0" collapsed="false">
      <c r="A158" s="5" t="n">
        <v>46204</v>
      </c>
      <c r="B158" s="6" t="s">
        <v>11</v>
      </c>
      <c r="C158" s="6" t="s">
        <v>37</v>
      </c>
      <c r="D158" s="7" t="n">
        <v>1864</v>
      </c>
      <c r="E158" s="8" t="str">
        <f aca="false">IFERROR(INDEX(Categorias!$B:$B,MATCH(B158,Categorias!$A:$A,0)),"?")</f>
        <v>Despesa</v>
      </c>
      <c r="F158" s="8" t="str">
        <f aca="false">IF(A158="","",TEXT(A158,"YYYY-MM"))</f>
        <v>2026-07</v>
      </c>
    </row>
    <row r="159" customFormat="false" ht="15" hidden="false" customHeight="false" outlineLevel="0" collapsed="false">
      <c r="A159" s="5" t="n">
        <v>46204</v>
      </c>
      <c r="B159" s="6" t="s">
        <v>4</v>
      </c>
      <c r="C159" s="6" t="s">
        <v>133</v>
      </c>
      <c r="D159" s="7" t="n">
        <v>259.62</v>
      </c>
      <c r="E159" s="8" t="str">
        <f aca="false">IFERROR(INDEX(Categorias!$B:$B,MATCH(B159,Categorias!$A:$A,0)),"?")</f>
        <v>Despesa</v>
      </c>
      <c r="F159" s="8" t="str">
        <f aca="false">IF(A159="","",TEXT(A159,"YYYY-MM"))</f>
        <v>2026-07</v>
      </c>
    </row>
    <row r="160" customFormat="false" ht="15" hidden="false" customHeight="false" outlineLevel="0" collapsed="false">
      <c r="A160" s="5" t="n">
        <v>46204</v>
      </c>
      <c r="B160" s="6" t="s">
        <v>4</v>
      </c>
      <c r="C160" s="6" t="s">
        <v>133</v>
      </c>
      <c r="D160" s="7" t="n">
        <v>375.552</v>
      </c>
      <c r="E160" s="8" t="str">
        <f aca="false">IFERROR(INDEX(Categorias!$B:$B,MATCH(B160,Categorias!$A:$A,0)),"?")</f>
        <v>Despesa</v>
      </c>
      <c r="F160" s="8" t="str">
        <f aca="false">IF(A160="","",TEXT(A160,"YYYY-MM"))</f>
        <v>2026-07</v>
      </c>
    </row>
    <row r="161" customFormat="false" ht="15" hidden="false" customHeight="false" outlineLevel="0" collapsed="false">
      <c r="A161" s="5" t="n">
        <v>46204</v>
      </c>
      <c r="B161" s="6" t="s">
        <v>12</v>
      </c>
      <c r="C161" s="6" t="s">
        <v>136</v>
      </c>
      <c r="D161" s="7" t="n">
        <v>245</v>
      </c>
      <c r="E161" s="8" t="str">
        <f aca="false">IFERROR(INDEX(Categorias!$B:$B,MATCH(B161,Categorias!$A:$A,0)),"?")</f>
        <v>Despesa</v>
      </c>
      <c r="F161" s="8" t="str">
        <f aca="false">IF(A161="","",TEXT(A161,"YYYY-MM"))</f>
        <v>2026-07</v>
      </c>
    </row>
    <row r="162" customFormat="false" ht="15" hidden="false" customHeight="false" outlineLevel="0" collapsed="false">
      <c r="A162" s="5" t="n">
        <v>46204</v>
      </c>
      <c r="B162" s="6" t="s">
        <v>12</v>
      </c>
      <c r="C162" s="6" t="s">
        <v>103</v>
      </c>
      <c r="D162" s="7" t="n">
        <v>180</v>
      </c>
      <c r="E162" s="8" t="str">
        <f aca="false">IFERROR(INDEX(Categorias!$B:$B,MATCH(B162,Categorias!$A:$A,0)),"?")</f>
        <v>Despesa</v>
      </c>
      <c r="F162" s="8" t="str">
        <f aca="false">IF(A162="","",TEXT(A162,"YYYY-MM"))</f>
        <v>2026-07</v>
      </c>
    </row>
    <row r="163" customFormat="false" ht="15" hidden="false" customHeight="false" outlineLevel="0" collapsed="false">
      <c r="A163" s="5" t="n">
        <v>46204</v>
      </c>
      <c r="B163" s="6" t="s">
        <v>12</v>
      </c>
      <c r="C163" s="6" t="s">
        <v>137</v>
      </c>
      <c r="D163" s="7" t="n">
        <v>75</v>
      </c>
      <c r="E163" s="8" t="str">
        <f aca="false">IFERROR(INDEX(Categorias!$B:$B,MATCH(B163,Categorias!$A:$A,0)),"?")</f>
        <v>Despesa</v>
      </c>
      <c r="F163" s="8" t="str">
        <f aca="false">IF(A163="","",TEXT(A163,"YYYY-MM"))</f>
        <v>2026-07</v>
      </c>
    </row>
    <row r="164" customFormat="false" ht="15" hidden="false" customHeight="false" outlineLevel="0" collapsed="false">
      <c r="A164" s="5" t="n">
        <v>46204</v>
      </c>
      <c r="B164" s="6" t="s">
        <v>4</v>
      </c>
      <c r="C164" s="6" t="s">
        <v>138</v>
      </c>
      <c r="D164" s="7" t="n">
        <v>6557.02</v>
      </c>
      <c r="E164" s="8" t="str">
        <f aca="false">IFERROR(INDEX(Categorias!$B:$B,MATCH(B164,Categorias!$A:$A,0)),"?")</f>
        <v>Despesa</v>
      </c>
      <c r="F164" s="8" t="str">
        <f aca="false">IF(A164="","",TEXT(A164,"YYYY-MM"))</f>
        <v>2026-07</v>
      </c>
    </row>
    <row r="165" customFormat="false" ht="15" hidden="false" customHeight="false" outlineLevel="0" collapsed="false">
      <c r="A165" s="5" t="n">
        <v>46204</v>
      </c>
      <c r="B165" s="6" t="s">
        <v>4</v>
      </c>
      <c r="C165" s="6" t="s">
        <v>63</v>
      </c>
      <c r="D165" s="7" t="n">
        <v>602.4</v>
      </c>
      <c r="E165" s="8" t="str">
        <f aca="false">IFERROR(INDEX(Categorias!$B:$B,MATCH(B165,Categorias!$A:$A,0)),"?")</f>
        <v>Despesa</v>
      </c>
      <c r="F165" s="8" t="str">
        <f aca="false">IF(A165="","",TEXT(A165,"YYYY-MM"))</f>
        <v>2026-07</v>
      </c>
    </row>
    <row r="166" customFormat="false" ht="15" hidden="false" customHeight="false" outlineLevel="0" collapsed="false">
      <c r="A166" s="5" t="n">
        <v>46204</v>
      </c>
      <c r="B166" s="6" t="s">
        <v>4</v>
      </c>
      <c r="C166" s="6" t="s">
        <v>139</v>
      </c>
      <c r="D166" s="7" t="n">
        <v>400</v>
      </c>
      <c r="E166" s="8" t="str">
        <f aca="false">IFERROR(INDEX(Categorias!$B:$B,MATCH(B166,Categorias!$A:$A,0)),"?")</f>
        <v>Despesa</v>
      </c>
      <c r="F166" s="8" t="str">
        <f aca="false">IF(A166="","",TEXT(A166,"YYYY-MM"))</f>
        <v>2026-07</v>
      </c>
    </row>
    <row r="167" customFormat="false" ht="15" hidden="false" customHeight="false" outlineLevel="0" collapsed="false">
      <c r="A167" s="5" t="n">
        <v>46204</v>
      </c>
      <c r="B167" s="6" t="s">
        <v>4</v>
      </c>
      <c r="C167" s="6" t="s">
        <v>140</v>
      </c>
      <c r="D167" s="7" t="n">
        <v>1155</v>
      </c>
      <c r="E167" s="8" t="str">
        <f aca="false">IFERROR(INDEX(Categorias!$B:$B,MATCH(B167,Categorias!$A:$A,0)),"?")</f>
        <v>Despesa</v>
      </c>
      <c r="F167" s="8" t="str">
        <f aca="false">IF(A167="","",TEXT(A167,"YYYY-MM"))</f>
        <v>2026-07</v>
      </c>
    </row>
    <row r="168" customFormat="false" ht="15" hidden="false" customHeight="false" outlineLevel="0" collapsed="false">
      <c r="A168" s="5" t="n">
        <v>46204</v>
      </c>
      <c r="B168" s="6" t="s">
        <v>4</v>
      </c>
      <c r="C168" s="6" t="s">
        <v>141</v>
      </c>
      <c r="D168" s="7" t="n">
        <v>3000</v>
      </c>
      <c r="E168" s="8" t="str">
        <f aca="false">IFERROR(INDEX(Categorias!$B:$B,MATCH(B168,Categorias!$A:$A,0)),"?")</f>
        <v>Despesa</v>
      </c>
      <c r="F168" s="8" t="str">
        <f aca="false">IF(A168="","",TEXT(A168,"YYYY-MM"))</f>
        <v>2026-07</v>
      </c>
    </row>
    <row r="169" customFormat="false" ht="15" hidden="false" customHeight="false" outlineLevel="0" collapsed="false">
      <c r="A169" s="5" t="n">
        <v>46204</v>
      </c>
      <c r="B169" s="6" t="s">
        <v>4</v>
      </c>
      <c r="C169" s="6" t="s">
        <v>142</v>
      </c>
      <c r="D169" s="7" t="n">
        <v>1400</v>
      </c>
      <c r="E169" s="8" t="str">
        <f aca="false">IFERROR(INDEX(Categorias!$B:$B,MATCH(B169,Categorias!$A:$A,0)),"?")</f>
        <v>Despesa</v>
      </c>
      <c r="F169" s="8" t="str">
        <f aca="false">IF(A169="","",TEXT(A169,"YYYY-MM"))</f>
        <v>2026-07</v>
      </c>
    </row>
    <row r="170" customFormat="false" ht="15" hidden="false" customHeight="false" outlineLevel="0" collapsed="false">
      <c r="A170" s="5" t="n">
        <v>46204</v>
      </c>
      <c r="B170" s="6" t="s">
        <v>7</v>
      </c>
      <c r="C170" s="6" t="s">
        <v>143</v>
      </c>
      <c r="D170" s="7" t="n">
        <v>34</v>
      </c>
      <c r="E170" s="8" t="str">
        <f aca="false">IFERROR(INDEX(Categorias!$B:$B,MATCH(B170,Categorias!$A:$A,0)),"?")</f>
        <v>Despesa</v>
      </c>
      <c r="F170" s="8" t="str">
        <f aca="false">IF(A170="","",TEXT(A170,"YYYY-MM"))</f>
        <v>2026-07</v>
      </c>
    </row>
    <row r="171" customFormat="false" ht="15" hidden="false" customHeight="false" outlineLevel="0" collapsed="false">
      <c r="A171" s="5" t="n">
        <v>46204</v>
      </c>
      <c r="B171" s="6" t="s">
        <v>10</v>
      </c>
      <c r="C171" s="6" t="s">
        <v>144</v>
      </c>
      <c r="D171" s="7" t="n">
        <v>504.81</v>
      </c>
      <c r="E171" s="8" t="str">
        <f aca="false">IFERROR(INDEX(Categorias!$B:$B,MATCH(B171,Categorias!$A:$A,0)),"?")</f>
        <v>Despesa</v>
      </c>
      <c r="F171" s="8" t="str">
        <f aca="false">IF(A171="","",TEXT(A171,"YYYY-MM"))</f>
        <v>2026-07</v>
      </c>
    </row>
    <row r="172" customFormat="false" ht="15" hidden="false" customHeight="false" outlineLevel="0" collapsed="false">
      <c r="A172" s="5" t="n">
        <v>46204</v>
      </c>
      <c r="B172" s="6" t="s">
        <v>14</v>
      </c>
      <c r="C172" s="6" t="s">
        <v>145</v>
      </c>
      <c r="D172" s="7" t="n">
        <v>1245.62</v>
      </c>
      <c r="E172" s="8" t="str">
        <f aca="false">IFERROR(INDEX(Categorias!$B:$B,MATCH(B172,Categorias!$A:$A,0)),"?")</f>
        <v>Despesa</v>
      </c>
      <c r="F172" s="8" t="str">
        <f aca="false">IF(A172="","",TEXT(A172,"YYYY-MM"))</f>
        <v>2026-07</v>
      </c>
    </row>
    <row r="173" customFormat="false" ht="15" hidden="false" customHeight="false" outlineLevel="0" collapsed="false">
      <c r="A173" s="5" t="n">
        <v>46204</v>
      </c>
      <c r="B173" s="6" t="s">
        <v>15</v>
      </c>
      <c r="C173" s="6" t="s">
        <v>146</v>
      </c>
      <c r="D173" s="7" t="n">
        <v>1113.22</v>
      </c>
      <c r="E173" s="8" t="str">
        <f aca="false">IFERROR(INDEX(Categorias!$B:$B,MATCH(B173,Categorias!$A:$A,0)),"?")</f>
        <v>Despesa</v>
      </c>
      <c r="F173" s="8" t="str">
        <f aca="false">IF(A173="","",TEXT(A173,"YYYY-MM"))</f>
        <v>2026-07</v>
      </c>
    </row>
    <row r="174" customFormat="false" ht="15" hidden="false" customHeight="false" outlineLevel="0" collapsed="false">
      <c r="A174" s="5" t="n">
        <v>46204</v>
      </c>
      <c r="B174" s="6" t="s">
        <v>11</v>
      </c>
      <c r="C174" s="6" t="s">
        <v>123</v>
      </c>
      <c r="D174" s="7" t="n">
        <v>1633.38</v>
      </c>
      <c r="E174" s="8" t="str">
        <f aca="false">IFERROR(INDEX(Categorias!$B:$B,MATCH(B174,Categorias!$A:$A,0)),"?")</f>
        <v>Despesa</v>
      </c>
      <c r="F174" s="8" t="str">
        <f aca="false">IF(A174="","",TEXT(A174,"YYYY-MM"))</f>
        <v>2026-07</v>
      </c>
    </row>
    <row r="175" customFormat="false" ht="15" hidden="false" customHeight="false" outlineLevel="0" collapsed="false">
      <c r="A175" s="5" t="n">
        <v>46204</v>
      </c>
      <c r="B175" s="6" t="s">
        <v>13</v>
      </c>
      <c r="C175" s="6" t="s">
        <v>114</v>
      </c>
      <c r="D175" s="7" t="n">
        <v>5000</v>
      </c>
      <c r="E175" s="8" t="str">
        <f aca="false">IFERROR(INDEX(Categorias!$B:$B,MATCH(B175,Categorias!$A:$A,0)),"?")</f>
        <v>Despesa</v>
      </c>
      <c r="F175" s="8" t="str">
        <f aca="false">IF(A175="","",TEXT(A175,"YYYY-MM"))</f>
        <v>2026-07</v>
      </c>
    </row>
    <row r="176" customFormat="false" ht="15" hidden="false" customHeight="false" outlineLevel="0" collapsed="false">
      <c r="A176" s="5" t="n">
        <v>46204</v>
      </c>
      <c r="B176" s="6" t="s">
        <v>13</v>
      </c>
      <c r="C176" s="6" t="s">
        <v>113</v>
      </c>
      <c r="D176" s="7" t="n">
        <v>4000</v>
      </c>
      <c r="E176" s="8" t="str">
        <f aca="false">IFERROR(INDEX(Categorias!$B:$B,MATCH(B176,Categorias!$A:$A,0)),"?")</f>
        <v>Despesa</v>
      </c>
      <c r="F176" s="8" t="str">
        <f aca="false">IF(A176="","",TEXT(A176,"YYYY-MM"))</f>
        <v>2026-07</v>
      </c>
    </row>
    <row r="177" customFormat="false" ht="15" hidden="false" customHeight="false" outlineLevel="0" collapsed="false">
      <c r="A177" s="5" t="n">
        <v>46204</v>
      </c>
      <c r="B177" s="6" t="s">
        <v>9</v>
      </c>
      <c r="C177" s="6" t="s">
        <v>147</v>
      </c>
      <c r="D177" s="7" t="n">
        <v>1032.17</v>
      </c>
      <c r="E177" s="8" t="str">
        <f aca="false">IFERROR(INDEX(Categorias!$B:$B,MATCH(B177,Categorias!$A:$A,0)),"?")</f>
        <v>Despesa</v>
      </c>
      <c r="F177" s="8" t="str">
        <f aca="false">IF(A177="","",TEXT(A177,"YYYY-MM"))</f>
        <v>2026-07</v>
      </c>
    </row>
    <row r="178" customFormat="false" ht="15" hidden="false" customHeight="false" outlineLevel="0" collapsed="false">
      <c r="A178" s="5" t="n">
        <v>46204</v>
      </c>
      <c r="B178" s="6" t="s">
        <v>11</v>
      </c>
      <c r="C178" s="6" t="s">
        <v>123</v>
      </c>
      <c r="D178" s="7" t="n">
        <v>637.81</v>
      </c>
      <c r="E178" s="8" t="str">
        <f aca="false">IFERROR(INDEX(Categorias!$B:$B,MATCH(B178,Categorias!$A:$A,0)),"?")</f>
        <v>Despesa</v>
      </c>
      <c r="F178" s="8" t="str">
        <f aca="false">IF(A178="","",TEXT(A178,"YYYY-MM"))</f>
        <v>2026-07</v>
      </c>
    </row>
    <row r="179" customFormat="false" ht="15" hidden="false" customHeight="false" outlineLevel="0" collapsed="false">
      <c r="A179" s="5" t="n">
        <v>46204</v>
      </c>
      <c r="B179" s="6" t="s">
        <v>10</v>
      </c>
      <c r="C179" s="6" t="s">
        <v>148</v>
      </c>
      <c r="D179" s="7" t="n">
        <v>134.99</v>
      </c>
      <c r="E179" s="8" t="str">
        <f aca="false">IFERROR(INDEX(Categorias!$B:$B,MATCH(B179,Categorias!$A:$A,0)),"?")</f>
        <v>Despesa</v>
      </c>
      <c r="F179" s="8" t="str">
        <f aca="false">IF(A179="","",TEXT(A179,"YYYY-MM"))</f>
        <v>2026-07</v>
      </c>
    </row>
    <row r="180" customFormat="false" ht="15" hidden="false" customHeight="false" outlineLevel="0" collapsed="false">
      <c r="A180" s="5" t="n">
        <v>46204</v>
      </c>
      <c r="B180" s="6" t="s">
        <v>4</v>
      </c>
      <c r="C180" s="6" t="s">
        <v>149</v>
      </c>
      <c r="D180" s="7" t="n">
        <v>5384.41</v>
      </c>
      <c r="E180" s="8" t="str">
        <f aca="false">IFERROR(INDEX(Categorias!$B:$B,MATCH(B180,Categorias!$A:$A,0)),"?")</f>
        <v>Despesa</v>
      </c>
      <c r="F180" s="8" t="str">
        <f aca="false">IF(A180="","",TEXT(A180,"YYYY-MM"))</f>
        <v>2026-07</v>
      </c>
    </row>
    <row r="181" customFormat="false" ht="15" hidden="false" customHeight="false" outlineLevel="0" collapsed="false">
      <c r="A181" s="5" t="n">
        <v>46204</v>
      </c>
      <c r="B181" s="6" t="s">
        <v>6</v>
      </c>
      <c r="C181" s="6" t="s">
        <v>150</v>
      </c>
      <c r="D181" s="7" t="n">
        <v>285</v>
      </c>
      <c r="E181" s="8" t="str">
        <f aca="false">IFERROR(INDEX(Categorias!$B:$B,MATCH(B181,Categorias!$A:$A,0)),"?")</f>
        <v>Despesa</v>
      </c>
      <c r="F181" s="8" t="str">
        <f aca="false">IF(A181="","",TEXT(A181,"YYYY-MM"))</f>
        <v>2026-07</v>
      </c>
    </row>
    <row r="182" customFormat="false" ht="15" hidden="false" customHeight="false" outlineLevel="0" collapsed="false">
      <c r="A182" s="5" t="n">
        <v>46204</v>
      </c>
      <c r="B182" s="6" t="s">
        <v>8</v>
      </c>
      <c r="C182" s="6" t="s">
        <v>151</v>
      </c>
      <c r="D182" s="7" t="n">
        <v>3483.27</v>
      </c>
      <c r="E182" s="8" t="str">
        <f aca="false">IFERROR(INDEX(Categorias!$B:$B,MATCH(B182,Categorias!$A:$A,0)),"?")</f>
        <v>Despesa</v>
      </c>
      <c r="F182" s="8" t="str">
        <f aca="false">IF(A182="","",TEXT(A182,"YYYY-MM"))</f>
        <v>2026-07</v>
      </c>
    </row>
    <row r="183" customFormat="false" ht="15" hidden="false" customHeight="false" outlineLevel="0" collapsed="false">
      <c r="A183" s="5" t="n">
        <v>46204</v>
      </c>
      <c r="B183" s="6" t="s">
        <v>8</v>
      </c>
      <c r="C183" s="6" t="s">
        <v>49</v>
      </c>
      <c r="D183" s="7" t="n">
        <v>3316.2</v>
      </c>
      <c r="E183" s="8" t="str">
        <f aca="false">IFERROR(INDEX(Categorias!$B:$B,MATCH(B183,Categorias!$A:$A,0)),"?")</f>
        <v>Despesa</v>
      </c>
      <c r="F183" s="8" t="str">
        <f aca="false">IF(A183="","",TEXT(A183,"YYYY-MM"))</f>
        <v>2026-07</v>
      </c>
    </row>
    <row r="184" customFormat="false" ht="15" hidden="false" customHeight="false" outlineLevel="0" collapsed="false">
      <c r="A184" s="5" t="n">
        <v>46204</v>
      </c>
      <c r="B184" s="6" t="s">
        <v>10</v>
      </c>
      <c r="C184" s="6" t="s">
        <v>152</v>
      </c>
      <c r="D184" s="7" t="n">
        <v>991.53</v>
      </c>
      <c r="E184" s="8" t="str">
        <f aca="false">IFERROR(INDEX(Categorias!$B:$B,MATCH(B184,Categorias!$A:$A,0)),"?")</f>
        <v>Despesa</v>
      </c>
      <c r="F184" s="8" t="str">
        <f aca="false">IF(A184="","",TEXT(A184,"YYYY-MM"))</f>
        <v>2026-07</v>
      </c>
    </row>
    <row r="185" customFormat="false" ht="15" hidden="false" customHeight="false" outlineLevel="0" collapsed="false">
      <c r="A185" s="5" t="n">
        <v>46204</v>
      </c>
      <c r="B185" s="6" t="s">
        <v>4</v>
      </c>
      <c r="C185" s="6" t="s">
        <v>133</v>
      </c>
      <c r="D185" s="7" t="n">
        <v>663.59</v>
      </c>
      <c r="E185" s="8" t="str">
        <f aca="false">IFERROR(INDEX(Categorias!$B:$B,MATCH(B185,Categorias!$A:$A,0)),"?")</f>
        <v>Despesa</v>
      </c>
      <c r="F185" s="8" t="str">
        <f aca="false">IF(A185="","",TEXT(A185,"YYYY-MM"))</f>
        <v>2026-07</v>
      </c>
    </row>
    <row r="186" customFormat="false" ht="15" hidden="false" customHeight="false" outlineLevel="0" collapsed="false">
      <c r="A186" s="5" t="n">
        <v>46204</v>
      </c>
      <c r="B186" s="6" t="s">
        <v>4</v>
      </c>
      <c r="C186" s="6" t="s">
        <v>153</v>
      </c>
      <c r="D186" s="7" t="n">
        <v>2380.27</v>
      </c>
      <c r="E186" s="8" t="str">
        <f aca="false">IFERROR(INDEX(Categorias!$B:$B,MATCH(B186,Categorias!$A:$A,0)),"?")</f>
        <v>Despesa</v>
      </c>
      <c r="F186" s="8" t="str">
        <f aca="false">IF(A186="","",TEXT(A186,"YYYY-MM"))</f>
        <v>2026-07</v>
      </c>
    </row>
    <row r="187" customFormat="false" ht="15" hidden="false" customHeight="false" outlineLevel="0" collapsed="false">
      <c r="A187" s="5" t="n">
        <v>46204</v>
      </c>
      <c r="B187" s="6" t="s">
        <v>4</v>
      </c>
      <c r="C187" s="6" t="s">
        <v>133</v>
      </c>
      <c r="D187" s="7" t="n">
        <v>306.53</v>
      </c>
      <c r="E187" s="8" t="str">
        <f aca="false">IFERROR(INDEX(Categorias!$B:$B,MATCH(B187,Categorias!$A:$A,0)),"?")</f>
        <v>Despesa</v>
      </c>
      <c r="F187" s="8" t="str">
        <f aca="false">IF(A187="","",TEXT(A187,"YYYY-MM"))</f>
        <v>2026-07</v>
      </c>
    </row>
    <row r="188" customFormat="false" ht="15" hidden="false" customHeight="false" outlineLevel="0" collapsed="false">
      <c r="A188" s="5" t="n">
        <v>46204</v>
      </c>
      <c r="B188" s="6" t="s">
        <v>6</v>
      </c>
      <c r="C188" s="6" t="s">
        <v>154</v>
      </c>
      <c r="D188" s="7" t="n">
        <v>386.47</v>
      </c>
      <c r="E188" s="8" t="str">
        <f aca="false">IFERROR(INDEX(Categorias!$B:$B,MATCH(B188,Categorias!$A:$A,0)),"?")</f>
        <v>Despesa</v>
      </c>
      <c r="F188" s="8" t="str">
        <f aca="false">IF(A188="","",TEXT(A188,"YYYY-MM"))</f>
        <v>2026-07</v>
      </c>
    </row>
    <row r="189" customFormat="false" ht="15" hidden="false" customHeight="false" outlineLevel="0" collapsed="false">
      <c r="A189" s="5" t="n">
        <v>46204</v>
      </c>
      <c r="B189" s="6" t="s">
        <v>15</v>
      </c>
      <c r="C189" s="6" t="s">
        <v>155</v>
      </c>
      <c r="D189" s="7" t="n">
        <v>353.97</v>
      </c>
      <c r="E189" s="8" t="str">
        <f aca="false">IFERROR(INDEX(Categorias!$B:$B,MATCH(B189,Categorias!$A:$A,0)),"?")</f>
        <v>Despesa</v>
      </c>
      <c r="F189" s="8" t="str">
        <f aca="false">IF(A189="","",TEXT(A189,"YYYY-MM"))</f>
        <v>2026-07</v>
      </c>
    </row>
    <row r="190" customFormat="false" ht="15" hidden="false" customHeight="false" outlineLevel="0" collapsed="false">
      <c r="A190" s="5" t="n">
        <v>46204</v>
      </c>
      <c r="B190" s="6" t="s">
        <v>9</v>
      </c>
      <c r="C190" s="6" t="s">
        <v>156</v>
      </c>
      <c r="D190" s="7" t="n">
        <v>3590</v>
      </c>
      <c r="E190" s="8" t="str">
        <f aca="false">IFERROR(INDEX(Categorias!$B:$B,MATCH(B190,Categorias!$A:$A,0)),"?")</f>
        <v>Despesa</v>
      </c>
      <c r="F190" s="8" t="str">
        <f aca="false">IF(A190="","",TEXT(A190,"YYYY-MM"))</f>
        <v>2026-07</v>
      </c>
    </row>
    <row r="191" customFormat="false" ht="15" hidden="false" customHeight="false" outlineLevel="0" collapsed="false">
      <c r="A191" s="5" t="n">
        <v>46204</v>
      </c>
      <c r="B191" s="6" t="s">
        <v>4</v>
      </c>
      <c r="C191" s="6" t="s">
        <v>133</v>
      </c>
      <c r="D191" s="7" t="n">
        <v>375</v>
      </c>
      <c r="E191" s="8" t="str">
        <f aca="false">IFERROR(INDEX(Categorias!$B:$B,MATCH(B191,Categorias!$A:$A,0)),"?")</f>
        <v>Despesa</v>
      </c>
      <c r="F191" s="8" t="str">
        <f aca="false">IF(A191="","",TEXT(A191,"YYYY-MM"))</f>
        <v>2026-07</v>
      </c>
    </row>
    <row r="192" customFormat="false" ht="15" hidden="false" customHeight="false" outlineLevel="0" collapsed="false">
      <c r="A192" s="5" t="n">
        <v>46204</v>
      </c>
      <c r="B192" s="6" t="s">
        <v>7</v>
      </c>
      <c r="C192" s="6" t="s">
        <v>132</v>
      </c>
      <c r="D192" s="7" t="n">
        <v>4.13</v>
      </c>
      <c r="E192" s="8" t="str">
        <f aca="false">IFERROR(INDEX(Categorias!$B:$B,MATCH(B192,Categorias!$A:$A,0)),"?")</f>
        <v>Despesa</v>
      </c>
      <c r="F192" s="8" t="str">
        <f aca="false">IF(A192="","",TEXT(A192,"YYYY-MM"))</f>
        <v>2026-07</v>
      </c>
    </row>
    <row r="193" customFormat="false" ht="15" hidden="false" customHeight="false" outlineLevel="0" collapsed="false">
      <c r="A193" s="5" t="n">
        <v>46204</v>
      </c>
      <c r="B193" s="6" t="s">
        <v>7</v>
      </c>
      <c r="C193" s="6" t="s">
        <v>132</v>
      </c>
      <c r="D193" s="7" t="n">
        <v>9.8</v>
      </c>
      <c r="E193" s="8" t="str">
        <f aca="false">IFERROR(INDEX(Categorias!$B:$B,MATCH(B193,Categorias!$A:$A,0)),"?")</f>
        <v>Despesa</v>
      </c>
      <c r="F193" s="8" t="str">
        <f aca="false">IF(A193="","",TEXT(A193,"YYYY-MM"))</f>
        <v>2026-07</v>
      </c>
    </row>
    <row r="194" customFormat="false" ht="15" hidden="false" customHeight="false" outlineLevel="0" collapsed="false">
      <c r="A194" s="5" t="n">
        <v>46204</v>
      </c>
      <c r="B194" s="6" t="s">
        <v>7</v>
      </c>
      <c r="C194" s="6" t="s">
        <v>132</v>
      </c>
      <c r="D194" s="7" t="n">
        <v>9.8</v>
      </c>
      <c r="E194" s="8" t="str">
        <f aca="false">IFERROR(INDEX(Categorias!$B:$B,MATCH(B194,Categorias!$A:$A,0)),"?")</f>
        <v>Despesa</v>
      </c>
      <c r="F194" s="8" t="str">
        <f aca="false">IF(A194="","",TEXT(A194,"YYYY-MM"))</f>
        <v>2026-07</v>
      </c>
    </row>
    <row r="195" customFormat="false" ht="15" hidden="false" customHeight="false" outlineLevel="0" collapsed="false">
      <c r="A195" s="5" t="n">
        <v>46204</v>
      </c>
      <c r="B195" s="6" t="s">
        <v>7</v>
      </c>
      <c r="C195" s="6" t="s">
        <v>132</v>
      </c>
      <c r="D195" s="7" t="n">
        <v>5.8</v>
      </c>
      <c r="E195" s="8" t="str">
        <f aca="false">IFERROR(INDEX(Categorias!$B:$B,MATCH(B195,Categorias!$A:$A,0)),"?")</f>
        <v>Despesa</v>
      </c>
      <c r="F195" s="8" t="str">
        <f aca="false">IF(A195="","",TEXT(A195,"YYYY-MM"))</f>
        <v>2026-07</v>
      </c>
    </row>
    <row r="196" customFormat="false" ht="15" hidden="false" customHeight="false" outlineLevel="0" collapsed="false">
      <c r="A196" s="5" t="n">
        <v>46204</v>
      </c>
      <c r="B196" s="6" t="s">
        <v>7</v>
      </c>
      <c r="C196" s="6" t="s">
        <v>132</v>
      </c>
      <c r="D196" s="7" t="n">
        <v>8.73</v>
      </c>
      <c r="E196" s="8" t="str">
        <f aca="false">IFERROR(INDEX(Categorias!$B:$B,MATCH(B196,Categorias!$A:$A,0)),"?")</f>
        <v>Despesa</v>
      </c>
      <c r="F196" s="8" t="str">
        <f aca="false">IF(A196="","",TEXT(A196,"YYYY-MM"))</f>
        <v>2026-07</v>
      </c>
    </row>
    <row r="197" customFormat="false" ht="15" hidden="false" customHeight="false" outlineLevel="0" collapsed="false">
      <c r="A197" s="5" t="n">
        <v>46204</v>
      </c>
      <c r="B197" s="6" t="s">
        <v>7</v>
      </c>
      <c r="C197" s="6" t="s">
        <v>132</v>
      </c>
      <c r="D197" s="7" t="n">
        <v>9.8</v>
      </c>
      <c r="E197" s="8" t="str">
        <f aca="false">IFERROR(INDEX(Categorias!$B:$B,MATCH(B197,Categorias!$A:$A,0)),"?")</f>
        <v>Despesa</v>
      </c>
      <c r="F197" s="8" t="str">
        <f aca="false">IF(A197="","",TEXT(A197,"YYYY-MM"))</f>
        <v>2026-07</v>
      </c>
    </row>
    <row r="198" customFormat="false" ht="15" hidden="false" customHeight="false" outlineLevel="0" collapsed="false">
      <c r="A198" s="5" t="n">
        <v>46204</v>
      </c>
      <c r="B198" s="6" t="s">
        <v>7</v>
      </c>
      <c r="C198" s="6" t="s">
        <v>132</v>
      </c>
      <c r="D198" s="7" t="n">
        <v>9.8</v>
      </c>
      <c r="E198" s="8" t="str">
        <f aca="false">IFERROR(INDEX(Categorias!$B:$B,MATCH(B198,Categorias!$A:$A,0)),"?")</f>
        <v>Despesa</v>
      </c>
      <c r="F198" s="8" t="str">
        <f aca="false">IF(A198="","",TEXT(A198,"YYYY-MM"))</f>
        <v>2026-07</v>
      </c>
    </row>
    <row r="199" customFormat="false" ht="15" hidden="false" customHeight="false" outlineLevel="0" collapsed="false">
      <c r="A199" s="5" t="n">
        <v>46204</v>
      </c>
      <c r="B199" s="6" t="s">
        <v>7</v>
      </c>
      <c r="C199" s="6" t="s">
        <v>132</v>
      </c>
      <c r="D199" s="7" t="n">
        <v>9.8</v>
      </c>
      <c r="E199" s="8" t="str">
        <f aca="false">IFERROR(INDEX(Categorias!$B:$B,MATCH(B199,Categorias!$A:$A,0)),"?")</f>
        <v>Despesa</v>
      </c>
      <c r="F199" s="8" t="str">
        <f aca="false">IF(A199="","",TEXT(A199,"YYYY-MM"))</f>
        <v>2026-07</v>
      </c>
    </row>
    <row r="200" customFormat="false" ht="15" hidden="false" customHeight="false" outlineLevel="0" collapsed="false">
      <c r="A200" s="5" t="n">
        <v>46204</v>
      </c>
      <c r="B200" s="6" t="s">
        <v>7</v>
      </c>
      <c r="C200" s="6" t="s">
        <v>132</v>
      </c>
      <c r="D200" s="7" t="n">
        <v>9.8</v>
      </c>
      <c r="E200" s="8" t="str">
        <f aca="false">IFERROR(INDEX(Categorias!$B:$B,MATCH(B200,Categorias!$A:$A,0)),"?")</f>
        <v>Despesa</v>
      </c>
      <c r="F200" s="8" t="str">
        <f aca="false">IF(A200="","",TEXT(A200,"YYYY-MM"))</f>
        <v>2026-07</v>
      </c>
    </row>
    <row r="201" customFormat="false" ht="15" hidden="false" customHeight="false" outlineLevel="0" collapsed="false">
      <c r="A201" s="5" t="n">
        <v>46204</v>
      </c>
      <c r="B201" s="6" t="s">
        <v>7</v>
      </c>
      <c r="C201" s="6" t="s">
        <v>132</v>
      </c>
      <c r="D201" s="7" t="n">
        <v>9.8</v>
      </c>
      <c r="E201" s="8" t="str">
        <f aca="false">IFERROR(INDEX(Categorias!$B:$B,MATCH(B201,Categorias!$A:$A,0)),"?")</f>
        <v>Despesa</v>
      </c>
      <c r="F201" s="8" t="str">
        <f aca="false">IF(A201="","",TEXT(A201,"YYYY-MM"))</f>
        <v>2026-07</v>
      </c>
    </row>
    <row r="202" customFormat="false" ht="15" hidden="false" customHeight="false" outlineLevel="0" collapsed="false">
      <c r="A202" s="5" t="n">
        <v>46204</v>
      </c>
      <c r="B202" s="6" t="s">
        <v>7</v>
      </c>
      <c r="C202" s="6" t="s">
        <v>132</v>
      </c>
      <c r="D202" s="7" t="n">
        <v>9.8</v>
      </c>
      <c r="E202" s="8" t="str">
        <f aca="false">IFERROR(INDEX(Categorias!$B:$B,MATCH(B202,Categorias!$A:$A,0)),"?")</f>
        <v>Despesa</v>
      </c>
      <c r="F202" s="8" t="str">
        <f aca="false">IF(A202="","",TEXT(A202,"YYYY-MM"))</f>
        <v>2026-07</v>
      </c>
    </row>
    <row r="203" customFormat="false" ht="15" hidden="false" customHeight="false" outlineLevel="0" collapsed="false">
      <c r="A203" s="5" t="n">
        <v>46204</v>
      </c>
      <c r="B203" s="6" t="s">
        <v>7</v>
      </c>
      <c r="C203" s="6" t="s">
        <v>132</v>
      </c>
      <c r="D203" s="7" t="n">
        <v>9.8</v>
      </c>
      <c r="E203" s="8" t="str">
        <f aca="false">IFERROR(INDEX(Categorias!$B:$B,MATCH(B203,Categorias!$A:$A,0)),"?")</f>
        <v>Despesa</v>
      </c>
      <c r="F203" s="8" t="str">
        <f aca="false">IF(A203="","",TEXT(A203,"YYYY-MM"))</f>
        <v>2026-07</v>
      </c>
    </row>
    <row r="204" customFormat="false" ht="15" hidden="false" customHeight="false" outlineLevel="0" collapsed="false">
      <c r="A204" s="5" t="n">
        <v>46204</v>
      </c>
      <c r="B204" s="6" t="s">
        <v>7</v>
      </c>
      <c r="C204" s="6" t="s">
        <v>132</v>
      </c>
      <c r="D204" s="7" t="n">
        <v>7.25</v>
      </c>
      <c r="E204" s="8" t="str">
        <f aca="false">IFERROR(INDEX(Categorias!$B:$B,MATCH(B204,Categorias!$A:$A,0)),"?")</f>
        <v>Despesa</v>
      </c>
      <c r="F204" s="8" t="str">
        <f aca="false">IF(A204="","",TEXT(A204,"YYYY-MM"))</f>
        <v>2026-07</v>
      </c>
    </row>
    <row r="205" customFormat="false" ht="15" hidden="false" customHeight="false" outlineLevel="0" collapsed="false">
      <c r="A205" s="5" t="n">
        <v>46204</v>
      </c>
      <c r="B205" s="6" t="s">
        <v>7</v>
      </c>
      <c r="C205" s="6" t="s">
        <v>132</v>
      </c>
      <c r="D205" s="7" t="n">
        <v>9.8</v>
      </c>
      <c r="E205" s="8" t="str">
        <f aca="false">IFERROR(INDEX(Categorias!$B:$B,MATCH(B205,Categorias!$A:$A,0)),"?")</f>
        <v>Despesa</v>
      </c>
      <c r="F205" s="8" t="str">
        <f aca="false">IF(A205="","",TEXT(A205,"YYYY-MM"))</f>
        <v>2026-07</v>
      </c>
    </row>
    <row r="206" customFormat="false" ht="15" hidden="false" customHeight="false" outlineLevel="0" collapsed="false">
      <c r="A206" s="5" t="n">
        <v>46204</v>
      </c>
      <c r="B206" s="6" t="s">
        <v>7</v>
      </c>
      <c r="C206" s="6" t="s">
        <v>132</v>
      </c>
      <c r="D206" s="7" t="n">
        <v>7.25</v>
      </c>
      <c r="E206" s="8" t="str">
        <f aca="false">IFERROR(INDEX(Categorias!$B:$B,MATCH(B206,Categorias!$A:$A,0)),"?")</f>
        <v>Despesa</v>
      </c>
      <c r="F206" s="8" t="str">
        <f aca="false">IF(A206="","",TEXT(A206,"YYYY-MM"))</f>
        <v>2026-07</v>
      </c>
    </row>
    <row r="207" customFormat="false" ht="15" hidden="false" customHeight="false" outlineLevel="0" collapsed="false">
      <c r="A207" s="5" t="n">
        <v>46204</v>
      </c>
      <c r="B207" s="6" t="s">
        <v>7</v>
      </c>
      <c r="C207" s="6" t="s">
        <v>132</v>
      </c>
      <c r="D207" s="7" t="n">
        <v>9.8</v>
      </c>
      <c r="E207" s="8" t="str">
        <f aca="false">IFERROR(INDEX(Categorias!$B:$B,MATCH(B207,Categorias!$A:$A,0)),"?")</f>
        <v>Despesa</v>
      </c>
      <c r="F207" s="8" t="str">
        <f aca="false">IF(A207="","",TEXT(A207,"YYYY-MM"))</f>
        <v>2026-07</v>
      </c>
    </row>
    <row r="208" customFormat="false" ht="15" hidden="false" customHeight="false" outlineLevel="0" collapsed="false">
      <c r="A208" s="5" t="n">
        <v>46204</v>
      </c>
      <c r="B208" s="6" t="s">
        <v>7</v>
      </c>
      <c r="C208" s="6" t="s">
        <v>132</v>
      </c>
      <c r="D208" s="7" t="n">
        <v>9.8</v>
      </c>
      <c r="E208" s="8" t="str">
        <f aca="false">IFERROR(INDEX(Categorias!$B:$B,MATCH(B208,Categorias!$A:$A,0)),"?")</f>
        <v>Despesa</v>
      </c>
      <c r="F208" s="8" t="str">
        <f aca="false">IF(A208="","",TEXT(A208,"YYYY-MM"))</f>
        <v>2026-07</v>
      </c>
    </row>
    <row r="209" customFormat="false" ht="15" hidden="false" customHeight="false" outlineLevel="0" collapsed="false">
      <c r="A209" s="5" t="n">
        <v>46204</v>
      </c>
      <c r="B209" s="6" t="s">
        <v>7</v>
      </c>
      <c r="C209" s="6" t="s">
        <v>132</v>
      </c>
      <c r="D209" s="7" t="n">
        <v>7.39</v>
      </c>
      <c r="E209" s="8" t="str">
        <f aca="false">IFERROR(INDEX(Categorias!$B:$B,MATCH(B209,Categorias!$A:$A,0)),"?")</f>
        <v>Despesa</v>
      </c>
      <c r="F209" s="8" t="str">
        <f aca="false">IF(A209="","",TEXT(A209,"YYYY-MM"))</f>
        <v>2026-07</v>
      </c>
    </row>
    <row r="210" customFormat="false" ht="15" hidden="false" customHeight="false" outlineLevel="0" collapsed="false">
      <c r="A210" s="5" t="n">
        <v>46204</v>
      </c>
      <c r="B210" s="6" t="s">
        <v>6</v>
      </c>
      <c r="C210" s="6" t="s">
        <v>131</v>
      </c>
      <c r="D210" s="7" t="n">
        <v>375</v>
      </c>
      <c r="E210" s="8" t="str">
        <f aca="false">IFERROR(INDEX(Categorias!$B:$B,MATCH(B210,Categorias!$A:$A,0)),"?")</f>
        <v>Despesa</v>
      </c>
      <c r="F210" s="8" t="str">
        <f aca="false">IF(A210="","",TEXT(A210,"YYYY-MM"))</f>
        <v>2026-07</v>
      </c>
    </row>
    <row r="211" customFormat="false" ht="15" hidden="false" customHeight="false" outlineLevel="0" collapsed="false">
      <c r="A211" s="5" t="n">
        <v>46204</v>
      </c>
      <c r="B211" s="6" t="s">
        <v>11</v>
      </c>
      <c r="C211" s="6" t="s">
        <v>157</v>
      </c>
      <c r="D211" s="7" t="n">
        <v>1348</v>
      </c>
      <c r="E211" s="8" t="str">
        <f aca="false">IFERROR(INDEX(Categorias!$B:$B,MATCH(B211,Categorias!$A:$A,0)),"?")</f>
        <v>Despesa</v>
      </c>
      <c r="F211" s="8" t="str">
        <f aca="false">IF(A211="","",TEXT(A211,"YYYY-MM"))</f>
        <v>2026-07</v>
      </c>
    </row>
    <row r="212" customFormat="false" ht="15" hidden="false" customHeight="false" outlineLevel="0" collapsed="false">
      <c r="A212" s="5" t="n">
        <v>46204</v>
      </c>
      <c r="B212" s="6" t="s">
        <v>11</v>
      </c>
      <c r="C212" s="6" t="s">
        <v>158</v>
      </c>
      <c r="D212" s="7" t="n">
        <v>256</v>
      </c>
      <c r="E212" s="8" t="str">
        <f aca="false">IFERROR(INDEX(Categorias!$B:$B,MATCH(B212,Categorias!$A:$A,0)),"?")</f>
        <v>Despesa</v>
      </c>
      <c r="F212" s="8" t="str">
        <f aca="false">IF(A212="","",TEXT(A212,"YYYY-MM"))</f>
        <v>2026-07</v>
      </c>
    </row>
    <row r="213" customFormat="false" ht="15" hidden="false" customHeight="false" outlineLevel="0" collapsed="false">
      <c r="A213" s="5" t="n">
        <v>46204</v>
      </c>
      <c r="B213" s="6" t="s">
        <v>11</v>
      </c>
      <c r="C213" s="6" t="s">
        <v>80</v>
      </c>
      <c r="D213" s="7" t="n">
        <v>259</v>
      </c>
      <c r="E213" s="8" t="str">
        <f aca="false">IFERROR(INDEX(Categorias!$B:$B,MATCH(B213,Categorias!$A:$A,0)),"?")</f>
        <v>Despesa</v>
      </c>
      <c r="F213" s="8" t="str">
        <f aca="false">IF(A213="","",TEXT(A213,"YYYY-MM"))</f>
        <v>2026-07</v>
      </c>
    </row>
    <row r="214" customFormat="false" ht="15" hidden="false" customHeight="false" outlineLevel="0" collapsed="false">
      <c r="A214" s="5" t="n">
        <v>46204</v>
      </c>
      <c r="B214" s="6" t="s">
        <v>11</v>
      </c>
      <c r="C214" s="6" t="s">
        <v>81</v>
      </c>
      <c r="D214" s="7" t="n">
        <v>259</v>
      </c>
      <c r="E214" s="8" t="str">
        <f aca="false">IFERROR(INDEX(Categorias!$B:$B,MATCH(B214,Categorias!$A:$A,0)),"?")</f>
        <v>Despesa</v>
      </c>
      <c r="F214" s="8" t="str">
        <f aca="false">IF(A214="","",TEXT(A214,"YYYY-MM"))</f>
        <v>2026-07</v>
      </c>
    </row>
    <row r="215" customFormat="false" ht="15" hidden="false" customHeight="false" outlineLevel="0" collapsed="false">
      <c r="A215" s="5" t="n">
        <v>46204</v>
      </c>
      <c r="B215" s="6" t="s">
        <v>11</v>
      </c>
      <c r="C215" s="6" t="s">
        <v>159</v>
      </c>
      <c r="D215" s="7" t="n">
        <v>256</v>
      </c>
      <c r="E215" s="8" t="str">
        <f aca="false">IFERROR(INDEX(Categorias!$B:$B,MATCH(B215,Categorias!$A:$A,0)),"?")</f>
        <v>Despesa</v>
      </c>
      <c r="F215" s="8" t="str">
        <f aca="false">IF(A215="","",TEXT(A215,"YYYY-MM"))</f>
        <v>2026-07</v>
      </c>
    </row>
    <row r="216" customFormat="false" ht="15" hidden="false" customHeight="false" outlineLevel="0" collapsed="false">
      <c r="A216" s="5" t="n">
        <v>46204</v>
      </c>
      <c r="B216" s="6" t="s">
        <v>16</v>
      </c>
      <c r="C216" s="6" t="s">
        <v>160</v>
      </c>
      <c r="D216" s="7" t="n">
        <v>1515</v>
      </c>
      <c r="E216" s="8" t="str">
        <f aca="false">IFERROR(INDEX(Categorias!$B:$B,MATCH(B216,Categorias!$A:$A,0)),"?")</f>
        <v>Despesa</v>
      </c>
      <c r="F216" s="8" t="str">
        <f aca="false">IF(A216="","",TEXT(A216,"YYYY-MM"))</f>
        <v>2026-07</v>
      </c>
    </row>
    <row r="217" customFormat="false" ht="15" hidden="false" customHeight="false" outlineLevel="0" collapsed="false">
      <c r="A217" s="5" t="n">
        <v>46235</v>
      </c>
      <c r="B217" s="6" t="s">
        <v>2</v>
      </c>
      <c r="C217" s="6" t="s">
        <v>93</v>
      </c>
      <c r="D217" s="7" t="n">
        <v>53307.85</v>
      </c>
      <c r="E217" s="8" t="str">
        <f aca="false">IFERROR(INDEX(Categorias!$B:$B,MATCH(B217,Categorias!$A:$A,0)),"?")</f>
        <v>Receita</v>
      </c>
      <c r="F217" s="8" t="str">
        <f aca="false">IF(A217="","",TEXT(A217,"YYYY-MM"))</f>
        <v>2026-08</v>
      </c>
    </row>
    <row r="218" customFormat="false" ht="15" hidden="false" customHeight="false" outlineLevel="0" collapsed="false">
      <c r="A218" s="5" t="n">
        <v>46235</v>
      </c>
      <c r="B218" s="6" t="s">
        <v>2</v>
      </c>
      <c r="C218" s="6" t="s">
        <v>94</v>
      </c>
      <c r="D218" s="7" t="n">
        <v>2020</v>
      </c>
      <c r="E218" s="8" t="str">
        <f aca="false">IFERROR(INDEX(Categorias!$B:$B,MATCH(B218,Categorias!$A:$A,0)),"?")</f>
        <v>Receita</v>
      </c>
      <c r="F218" s="8" t="str">
        <f aca="false">IF(A218="","",TEXT(A218,"YYYY-MM"))</f>
        <v>2026-08</v>
      </c>
    </row>
    <row r="219" customFormat="false" ht="15" hidden="false" customHeight="false" outlineLevel="0" collapsed="false">
      <c r="A219" s="5" t="n">
        <v>46235</v>
      </c>
      <c r="B219" s="6" t="s">
        <v>4</v>
      </c>
      <c r="C219" s="6" t="s">
        <v>161</v>
      </c>
      <c r="D219" s="7" t="n">
        <v>375</v>
      </c>
      <c r="E219" s="8" t="str">
        <f aca="false">IFERROR(INDEX(Categorias!$B:$B,MATCH(B219,Categorias!$A:$A,0)),"?")</f>
        <v>Despesa</v>
      </c>
      <c r="F219" s="8" t="str">
        <f aca="false">IF(A219="","",TEXT(A219,"YYYY-MM"))</f>
        <v>2026-08</v>
      </c>
    </row>
    <row r="220" customFormat="false" ht="15" hidden="false" customHeight="false" outlineLevel="0" collapsed="false">
      <c r="A220" s="5" t="n">
        <v>46235</v>
      </c>
      <c r="B220" s="6" t="s">
        <v>15</v>
      </c>
      <c r="C220" s="6" t="s">
        <v>162</v>
      </c>
      <c r="D220" s="7" t="n">
        <v>1231</v>
      </c>
      <c r="E220" s="8" t="str">
        <f aca="false">IFERROR(INDEX(Categorias!$B:$B,MATCH(B220,Categorias!$A:$A,0)),"?")</f>
        <v>Despesa</v>
      </c>
      <c r="F220" s="8" t="str">
        <f aca="false">IF(A220="","",TEXT(A220,"YYYY-MM"))</f>
        <v>2026-08</v>
      </c>
    </row>
    <row r="221" customFormat="false" ht="15" hidden="false" customHeight="false" outlineLevel="0" collapsed="false">
      <c r="A221" s="5" t="n">
        <v>46235</v>
      </c>
      <c r="B221" s="6" t="s">
        <v>4</v>
      </c>
      <c r="C221" s="6" t="s">
        <v>161</v>
      </c>
      <c r="D221" s="7" t="n">
        <v>259.53</v>
      </c>
      <c r="E221" s="8" t="str">
        <f aca="false">IFERROR(INDEX(Categorias!$B:$B,MATCH(B221,Categorias!$A:$A,0)),"?")</f>
        <v>Despesa</v>
      </c>
      <c r="F221" s="8" t="str">
        <f aca="false">IF(A221="","",TEXT(A221,"YYYY-MM"))</f>
        <v>2026-08</v>
      </c>
    </row>
    <row r="222" customFormat="false" ht="15" hidden="false" customHeight="false" outlineLevel="0" collapsed="false">
      <c r="A222" s="5" t="n">
        <v>46235</v>
      </c>
      <c r="B222" s="6" t="s">
        <v>4</v>
      </c>
      <c r="C222" s="6" t="s">
        <v>163</v>
      </c>
      <c r="D222" s="7" t="n">
        <v>4118.75</v>
      </c>
      <c r="E222" s="8" t="str">
        <f aca="false">IFERROR(INDEX(Categorias!$B:$B,MATCH(B222,Categorias!$A:$A,0)),"?")</f>
        <v>Despesa</v>
      </c>
      <c r="F222" s="8" t="str">
        <f aca="false">IF(A222="","",TEXT(A222,"YYYY-MM"))</f>
        <v>2026-08</v>
      </c>
    </row>
    <row r="223" customFormat="false" ht="15" hidden="false" customHeight="false" outlineLevel="0" collapsed="false">
      <c r="A223" s="5" t="n">
        <v>46235</v>
      </c>
      <c r="B223" s="6" t="s">
        <v>6</v>
      </c>
      <c r="C223" s="6" t="s">
        <v>164</v>
      </c>
      <c r="D223" s="7" t="n">
        <v>870</v>
      </c>
      <c r="E223" s="8" t="str">
        <f aca="false">IFERROR(INDEX(Categorias!$B:$B,MATCH(B223,Categorias!$A:$A,0)),"?")</f>
        <v>Despesa</v>
      </c>
      <c r="F223" s="8" t="str">
        <f aca="false">IF(A223="","",TEXT(A223,"YYYY-MM"))</f>
        <v>2026-08</v>
      </c>
    </row>
    <row r="224" customFormat="false" ht="15" hidden="false" customHeight="false" outlineLevel="0" collapsed="false">
      <c r="A224" s="5" t="n">
        <v>46235</v>
      </c>
      <c r="B224" s="6" t="s">
        <v>11</v>
      </c>
      <c r="C224" s="6" t="s">
        <v>71</v>
      </c>
      <c r="D224" s="7" t="n">
        <v>1727.67</v>
      </c>
      <c r="E224" s="8" t="str">
        <f aca="false">IFERROR(INDEX(Categorias!$B:$B,MATCH(B224,Categorias!$A:$A,0)),"?")</f>
        <v>Despesa</v>
      </c>
      <c r="F224" s="8" t="str">
        <f aca="false">IF(A224="","",TEXT(A224,"YYYY-MM"))</f>
        <v>2026-08</v>
      </c>
    </row>
    <row r="225" customFormat="false" ht="15" hidden="false" customHeight="false" outlineLevel="0" collapsed="false">
      <c r="A225" s="5" t="n">
        <v>46235</v>
      </c>
      <c r="B225" s="6" t="s">
        <v>11</v>
      </c>
      <c r="C225" s="6" t="s">
        <v>75</v>
      </c>
      <c r="D225" s="7" t="n">
        <v>2164.52</v>
      </c>
      <c r="E225" s="8" t="str">
        <f aca="false">IFERROR(INDEX(Categorias!$B:$B,MATCH(B225,Categorias!$A:$A,0)),"?")</f>
        <v>Despesa</v>
      </c>
      <c r="F225" s="8" t="str">
        <f aca="false">IF(A225="","",TEXT(A225,"YYYY-MM"))</f>
        <v>2026-08</v>
      </c>
    </row>
    <row r="226" customFormat="false" ht="15" hidden="false" customHeight="false" outlineLevel="0" collapsed="false">
      <c r="A226" s="5" t="n">
        <v>46235</v>
      </c>
      <c r="B226" s="6" t="s">
        <v>11</v>
      </c>
      <c r="C226" s="6" t="s">
        <v>76</v>
      </c>
      <c r="D226" s="7" t="n">
        <v>2099.52</v>
      </c>
      <c r="E226" s="8" t="str">
        <f aca="false">IFERROR(INDEX(Categorias!$B:$B,MATCH(B226,Categorias!$A:$A,0)),"?")</f>
        <v>Despesa</v>
      </c>
      <c r="F226" s="8" t="str">
        <f aca="false">IF(A226="","",TEXT(A226,"YYYY-MM"))</f>
        <v>2026-08</v>
      </c>
    </row>
    <row r="227" customFormat="false" ht="15" hidden="false" customHeight="false" outlineLevel="0" collapsed="false">
      <c r="A227" s="5" t="n">
        <v>46235</v>
      </c>
      <c r="B227" s="6" t="s">
        <v>11</v>
      </c>
      <c r="C227" s="6" t="s">
        <v>71</v>
      </c>
      <c r="D227" s="7" t="n">
        <v>510.12</v>
      </c>
      <c r="E227" s="8" t="str">
        <f aca="false">IFERROR(INDEX(Categorias!$B:$B,MATCH(B227,Categorias!$A:$A,0)),"?")</f>
        <v>Despesa</v>
      </c>
      <c r="F227" s="8" t="str">
        <f aca="false">IF(A227="","",TEXT(A227,"YYYY-MM"))</f>
        <v>2026-08</v>
      </c>
    </row>
    <row r="228" customFormat="false" ht="15" hidden="false" customHeight="false" outlineLevel="0" collapsed="false">
      <c r="A228" s="5" t="n">
        <v>46235</v>
      </c>
      <c r="B228" s="6" t="s">
        <v>4</v>
      </c>
      <c r="C228" s="6" t="s">
        <v>165</v>
      </c>
      <c r="D228" s="7" t="n">
        <v>7250.62</v>
      </c>
      <c r="E228" s="8" t="str">
        <f aca="false">IFERROR(INDEX(Categorias!$B:$B,MATCH(B228,Categorias!$A:$A,0)),"?")</f>
        <v>Despesa</v>
      </c>
      <c r="F228" s="8" t="str">
        <f aca="false">IF(A228="","",TEXT(A228,"YYYY-MM"))</f>
        <v>2026-08</v>
      </c>
    </row>
    <row r="229" customFormat="false" ht="15" hidden="false" customHeight="false" outlineLevel="0" collapsed="false">
      <c r="A229" s="5" t="n">
        <v>46235</v>
      </c>
      <c r="B229" s="6" t="s">
        <v>4</v>
      </c>
      <c r="C229" s="6" t="s">
        <v>166</v>
      </c>
      <c r="D229" s="7" t="n">
        <v>3641.1</v>
      </c>
      <c r="E229" s="8" t="str">
        <f aca="false">IFERROR(INDEX(Categorias!$B:$B,MATCH(B229,Categorias!$A:$A,0)),"?")</f>
        <v>Despesa</v>
      </c>
      <c r="F229" s="8" t="str">
        <f aca="false">IF(A229="","",TEXT(A229,"YYYY-MM"))</f>
        <v>2026-08</v>
      </c>
    </row>
    <row r="230" customFormat="false" ht="15" hidden="false" customHeight="false" outlineLevel="0" collapsed="false">
      <c r="A230" s="5" t="n">
        <v>46235</v>
      </c>
      <c r="B230" s="6" t="s">
        <v>4</v>
      </c>
      <c r="C230" s="6" t="s">
        <v>70</v>
      </c>
      <c r="D230" s="7" t="n">
        <v>800</v>
      </c>
      <c r="E230" s="8" t="str">
        <f aca="false">IFERROR(INDEX(Categorias!$B:$B,MATCH(B230,Categorias!$A:$A,0)),"?")</f>
        <v>Despesa</v>
      </c>
      <c r="F230" s="8" t="str">
        <f aca="false">IF(A230="","",TEXT(A230,"YYYY-MM"))</f>
        <v>2026-08</v>
      </c>
    </row>
    <row r="231" customFormat="false" ht="15" hidden="false" customHeight="false" outlineLevel="0" collapsed="false">
      <c r="A231" s="5" t="n">
        <v>46235</v>
      </c>
      <c r="B231" s="6" t="s">
        <v>4</v>
      </c>
      <c r="C231" s="6" t="s">
        <v>167</v>
      </c>
      <c r="D231" s="7" t="n">
        <v>1145</v>
      </c>
      <c r="E231" s="8" t="str">
        <f aca="false">IFERROR(INDEX(Categorias!$B:$B,MATCH(B231,Categorias!$A:$A,0)),"?")</f>
        <v>Despesa</v>
      </c>
      <c r="F231" s="8" t="str">
        <f aca="false">IF(A231="","",TEXT(A231,"YYYY-MM"))</f>
        <v>2026-08</v>
      </c>
    </row>
    <row r="232" customFormat="false" ht="15" hidden="false" customHeight="false" outlineLevel="0" collapsed="false">
      <c r="A232" s="5" t="n">
        <v>46235</v>
      </c>
      <c r="B232" s="6" t="s">
        <v>4</v>
      </c>
      <c r="C232" s="6" t="s">
        <v>168</v>
      </c>
      <c r="D232" s="7" t="n">
        <v>3000</v>
      </c>
      <c r="E232" s="8" t="str">
        <f aca="false">IFERROR(INDEX(Categorias!$B:$B,MATCH(B232,Categorias!$A:$A,0)),"?")</f>
        <v>Despesa</v>
      </c>
      <c r="F232" s="8" t="str">
        <f aca="false">IF(A232="","",TEXT(A232,"YYYY-MM"))</f>
        <v>2026-08</v>
      </c>
    </row>
    <row r="233" customFormat="false" ht="15" hidden="false" customHeight="false" outlineLevel="0" collapsed="false">
      <c r="A233" s="5" t="n">
        <v>46235</v>
      </c>
      <c r="B233" s="6" t="s">
        <v>4</v>
      </c>
      <c r="C233" s="6" t="s">
        <v>169</v>
      </c>
      <c r="D233" s="7" t="n">
        <v>1500</v>
      </c>
      <c r="E233" s="8" t="str">
        <f aca="false">IFERROR(INDEX(Categorias!$B:$B,MATCH(B233,Categorias!$A:$A,0)),"?")</f>
        <v>Despesa</v>
      </c>
      <c r="F233" s="8" t="str">
        <f aca="false">IF(A233="","",TEXT(A233,"YYYY-MM"))</f>
        <v>2026-08</v>
      </c>
    </row>
    <row r="234" customFormat="false" ht="15" hidden="false" customHeight="false" outlineLevel="0" collapsed="false">
      <c r="A234" s="5" t="n">
        <v>46235</v>
      </c>
      <c r="B234" s="6" t="s">
        <v>4</v>
      </c>
      <c r="C234" s="6" t="s">
        <v>170</v>
      </c>
      <c r="D234" s="7" t="n">
        <v>960</v>
      </c>
      <c r="E234" s="8" t="str">
        <f aca="false">IFERROR(INDEX(Categorias!$B:$B,MATCH(B234,Categorias!$A:$A,0)),"?")</f>
        <v>Despesa</v>
      </c>
      <c r="F234" s="8" t="str">
        <f aca="false">IF(A234="","",TEXT(A234,"YYYY-MM"))</f>
        <v>2026-08</v>
      </c>
    </row>
    <row r="235" customFormat="false" ht="15" hidden="false" customHeight="false" outlineLevel="0" collapsed="false">
      <c r="A235" s="5" t="n">
        <v>46235</v>
      </c>
      <c r="B235" s="6" t="s">
        <v>7</v>
      </c>
      <c r="C235" s="6" t="s">
        <v>28</v>
      </c>
      <c r="D235" s="7" t="n">
        <v>34</v>
      </c>
      <c r="E235" s="8" t="str">
        <f aca="false">IFERROR(INDEX(Categorias!$B:$B,MATCH(B235,Categorias!$A:$A,0)),"?")</f>
        <v>Despesa</v>
      </c>
      <c r="F235" s="8" t="str">
        <f aca="false">IF(A235="","",TEXT(A235,"YYYY-MM"))</f>
        <v>2026-08</v>
      </c>
    </row>
    <row r="236" customFormat="false" ht="15" hidden="false" customHeight="false" outlineLevel="0" collapsed="false">
      <c r="A236" s="5" t="n">
        <v>46235</v>
      </c>
      <c r="B236" s="6" t="s">
        <v>6</v>
      </c>
      <c r="C236" s="6" t="s">
        <v>171</v>
      </c>
      <c r="D236" s="7" t="n">
        <v>481.8</v>
      </c>
      <c r="E236" s="8" t="str">
        <f aca="false">IFERROR(INDEX(Categorias!$B:$B,MATCH(B236,Categorias!$A:$A,0)),"?")</f>
        <v>Despesa</v>
      </c>
      <c r="F236" s="8" t="str">
        <f aca="false">IF(A236="","",TEXT(A236,"YYYY-MM"))</f>
        <v>2026-08</v>
      </c>
    </row>
    <row r="237" customFormat="false" ht="15" hidden="false" customHeight="false" outlineLevel="0" collapsed="false">
      <c r="A237" s="5" t="n">
        <v>46235</v>
      </c>
      <c r="B237" s="6" t="s">
        <v>11</v>
      </c>
      <c r="C237" s="6" t="s">
        <v>172</v>
      </c>
      <c r="D237" s="7" t="n">
        <v>500</v>
      </c>
      <c r="E237" s="8" t="str">
        <f aca="false">IFERROR(INDEX(Categorias!$B:$B,MATCH(B237,Categorias!$A:$A,0)),"?")</f>
        <v>Despesa</v>
      </c>
      <c r="F237" s="8" t="str">
        <f aca="false">IF(A237="","",TEXT(A237,"YYYY-MM"))</f>
        <v>2026-08</v>
      </c>
    </row>
    <row r="238" customFormat="false" ht="15" hidden="false" customHeight="false" outlineLevel="0" collapsed="false">
      <c r="A238" s="5" t="n">
        <v>46235</v>
      </c>
      <c r="B238" s="6" t="s">
        <v>4</v>
      </c>
      <c r="C238" s="6" t="s">
        <v>161</v>
      </c>
      <c r="D238" s="7" t="n">
        <v>268.37</v>
      </c>
      <c r="E238" s="8" t="str">
        <f aca="false">IFERROR(INDEX(Categorias!$B:$B,MATCH(B238,Categorias!$A:$A,0)),"?")</f>
        <v>Despesa</v>
      </c>
      <c r="F238" s="8" t="str">
        <f aca="false">IF(A238="","",TEXT(A238,"YYYY-MM"))</f>
        <v>2026-08</v>
      </c>
    </row>
    <row r="239" customFormat="false" ht="15" hidden="false" customHeight="false" outlineLevel="0" collapsed="false">
      <c r="E239" s="9" t="str">
        <f aca="false">IFERROR(INDEX(Categorias!$B:$B,MATCH(B239,Categorias!$A:$A,0)),"")</f>
        <v/>
      </c>
      <c r="F239" s="9" t="str">
        <f aca="false">IF(A239="","",TEXT(A239,"YYYY-MM"))</f>
        <v/>
      </c>
    </row>
    <row r="240" customFormat="false" ht="15" hidden="false" customHeight="false" outlineLevel="0" collapsed="false">
      <c r="E240" s="9" t="str">
        <f aca="false">IFERROR(INDEX(Categorias!$B:$B,MATCH(B240,Categorias!$A:$A,0)),"")</f>
        <v/>
      </c>
      <c r="F240" s="9" t="str">
        <f aca="false">IF(A240="","",TEXT(A240,"YYYY-MM"))</f>
        <v/>
      </c>
    </row>
    <row r="241" customFormat="false" ht="15" hidden="false" customHeight="false" outlineLevel="0" collapsed="false">
      <c r="E241" s="9" t="str">
        <f aca="false">IFERROR(INDEX(Categorias!$B:$B,MATCH(B241,Categorias!$A:$A,0)),"")</f>
        <v/>
      </c>
      <c r="F241" s="9" t="str">
        <f aca="false">IF(A241="","",TEXT(A241,"YYYY-MM"))</f>
        <v/>
      </c>
    </row>
    <row r="242" customFormat="false" ht="15" hidden="false" customHeight="false" outlineLevel="0" collapsed="false">
      <c r="E242" s="9" t="str">
        <f aca="false">IFERROR(INDEX(Categorias!$B:$B,MATCH(B242,Categorias!$A:$A,0)),"")</f>
        <v/>
      </c>
      <c r="F242" s="9" t="str">
        <f aca="false">IF(A242="","",TEXT(A242,"YYYY-MM"))</f>
        <v/>
      </c>
    </row>
    <row r="243" customFormat="false" ht="15" hidden="false" customHeight="false" outlineLevel="0" collapsed="false">
      <c r="E243" s="9" t="str">
        <f aca="false">IFERROR(INDEX(Categorias!$B:$B,MATCH(B243,Categorias!$A:$A,0)),"")</f>
        <v/>
      </c>
      <c r="F243" s="9" t="str">
        <f aca="false">IF(A243="","",TEXT(A243,"YYYY-MM"))</f>
        <v/>
      </c>
    </row>
    <row r="244" customFormat="false" ht="15" hidden="false" customHeight="false" outlineLevel="0" collapsed="false">
      <c r="E244" s="9" t="str">
        <f aca="false">IFERROR(INDEX(Categorias!$B:$B,MATCH(B244,Categorias!$A:$A,0)),"")</f>
        <v/>
      </c>
      <c r="F244" s="9" t="str">
        <f aca="false">IF(A244="","",TEXT(A244,"YYYY-MM"))</f>
        <v/>
      </c>
    </row>
    <row r="245" customFormat="false" ht="15" hidden="false" customHeight="false" outlineLevel="0" collapsed="false">
      <c r="E245" s="9" t="str">
        <f aca="false">IFERROR(INDEX(Categorias!$B:$B,MATCH(B245,Categorias!$A:$A,0)),"")</f>
        <v/>
      </c>
      <c r="F245" s="9" t="str">
        <f aca="false">IF(A245="","",TEXT(A245,"YYYY-MM"))</f>
        <v/>
      </c>
    </row>
    <row r="246" customFormat="false" ht="15" hidden="false" customHeight="false" outlineLevel="0" collapsed="false">
      <c r="E246" s="9" t="str">
        <f aca="false">IFERROR(INDEX(Categorias!$B:$B,MATCH(B246,Categorias!$A:$A,0)),"")</f>
        <v/>
      </c>
      <c r="F246" s="9" t="str">
        <f aca="false">IF(A246="","",TEXT(A246,"YYYY-MM"))</f>
        <v/>
      </c>
    </row>
    <row r="247" customFormat="false" ht="15" hidden="false" customHeight="false" outlineLevel="0" collapsed="false">
      <c r="E247" s="9" t="str">
        <f aca="false">IFERROR(INDEX(Categorias!$B:$B,MATCH(B247,Categorias!$A:$A,0)),"")</f>
        <v/>
      </c>
      <c r="F247" s="9" t="str">
        <f aca="false">IF(A247="","",TEXT(A247,"YYYY-MM"))</f>
        <v/>
      </c>
    </row>
    <row r="248" customFormat="false" ht="15" hidden="false" customHeight="false" outlineLevel="0" collapsed="false">
      <c r="E248" s="9" t="str">
        <f aca="false">IFERROR(INDEX(Categorias!$B:$B,MATCH(B248,Categorias!$A:$A,0)),"")</f>
        <v/>
      </c>
      <c r="F248" s="9" t="str">
        <f aca="false">IF(A248="","",TEXT(A248,"YYYY-MM"))</f>
        <v/>
      </c>
    </row>
    <row r="249" customFormat="false" ht="15" hidden="false" customHeight="false" outlineLevel="0" collapsed="false">
      <c r="E249" s="9" t="str">
        <f aca="false">IFERROR(INDEX(Categorias!$B:$B,MATCH(B249,Categorias!$A:$A,0)),"")</f>
        <v/>
      </c>
      <c r="F249" s="9" t="str">
        <f aca="false">IF(A249="","",TEXT(A249,"YYYY-MM"))</f>
        <v/>
      </c>
    </row>
    <row r="250" customFormat="false" ht="15" hidden="false" customHeight="false" outlineLevel="0" collapsed="false">
      <c r="E250" s="9" t="str">
        <f aca="false">IFERROR(INDEX(Categorias!$B:$B,MATCH(B250,Categorias!$A:$A,0)),"")</f>
        <v/>
      </c>
      <c r="F250" s="9" t="str">
        <f aca="false">IF(A250="","",TEXT(A250,"YYYY-MM"))</f>
        <v/>
      </c>
    </row>
    <row r="251" customFormat="false" ht="15" hidden="false" customHeight="false" outlineLevel="0" collapsed="false">
      <c r="E251" s="9" t="str">
        <f aca="false">IFERROR(INDEX(Categorias!$B:$B,MATCH(B251,Categorias!$A:$A,0)),"")</f>
        <v/>
      </c>
      <c r="F251" s="9" t="str">
        <f aca="false">IF(A251="","",TEXT(A251,"YYYY-MM"))</f>
        <v/>
      </c>
    </row>
    <row r="252" customFormat="false" ht="15" hidden="false" customHeight="false" outlineLevel="0" collapsed="false">
      <c r="E252" s="9" t="str">
        <f aca="false">IFERROR(INDEX(Categorias!$B:$B,MATCH(B252,Categorias!$A:$A,0)),"")</f>
        <v/>
      </c>
      <c r="F252" s="9" t="str">
        <f aca="false">IF(A252="","",TEXT(A252,"YYYY-MM"))</f>
        <v/>
      </c>
    </row>
    <row r="253" customFormat="false" ht="15" hidden="false" customHeight="false" outlineLevel="0" collapsed="false">
      <c r="E253" s="9" t="str">
        <f aca="false">IFERROR(INDEX(Categorias!$B:$B,MATCH(B253,Categorias!$A:$A,0)),"")</f>
        <v/>
      </c>
      <c r="F253" s="9" t="str">
        <f aca="false">IF(A253="","",TEXT(A253,"YYYY-MM"))</f>
        <v/>
      </c>
    </row>
    <row r="254" customFormat="false" ht="15" hidden="false" customHeight="false" outlineLevel="0" collapsed="false">
      <c r="E254" s="9" t="str">
        <f aca="false">IFERROR(INDEX(Categorias!$B:$B,MATCH(B254,Categorias!$A:$A,0)),"")</f>
        <v/>
      </c>
      <c r="F254" s="9" t="str">
        <f aca="false">IF(A254="","",TEXT(A254,"YYYY-MM"))</f>
        <v/>
      </c>
    </row>
    <row r="255" customFormat="false" ht="15" hidden="false" customHeight="false" outlineLevel="0" collapsed="false">
      <c r="E255" s="9" t="str">
        <f aca="false">IFERROR(INDEX(Categorias!$B:$B,MATCH(B255,Categorias!$A:$A,0)),"")</f>
        <v/>
      </c>
      <c r="F255" s="9" t="str">
        <f aca="false">IF(A255="","",TEXT(A255,"YYYY-MM"))</f>
        <v/>
      </c>
    </row>
    <row r="256" customFormat="false" ht="15" hidden="false" customHeight="false" outlineLevel="0" collapsed="false">
      <c r="E256" s="9" t="str">
        <f aca="false">IFERROR(INDEX(Categorias!$B:$B,MATCH(B256,Categorias!$A:$A,0)),"")</f>
        <v/>
      </c>
      <c r="F256" s="9" t="str">
        <f aca="false">IF(A256="","",TEXT(A256,"YYYY-MM"))</f>
        <v/>
      </c>
    </row>
    <row r="257" customFormat="false" ht="15" hidden="false" customHeight="false" outlineLevel="0" collapsed="false">
      <c r="E257" s="9" t="str">
        <f aca="false">IFERROR(INDEX(Categorias!$B:$B,MATCH(B257,Categorias!$A:$A,0)),"")</f>
        <v/>
      </c>
      <c r="F257" s="9" t="str">
        <f aca="false">IF(A257="","",TEXT(A257,"YYYY-MM"))</f>
        <v/>
      </c>
    </row>
    <row r="258" customFormat="false" ht="15" hidden="false" customHeight="false" outlineLevel="0" collapsed="false">
      <c r="E258" s="9" t="str">
        <f aca="false">IFERROR(INDEX(Categorias!$B:$B,MATCH(B258,Categorias!$A:$A,0)),"")</f>
        <v/>
      </c>
      <c r="F258" s="9" t="str">
        <f aca="false">IF(A258="","",TEXT(A258,"YYYY-MM"))</f>
        <v/>
      </c>
    </row>
    <row r="259" customFormat="false" ht="15" hidden="false" customHeight="false" outlineLevel="0" collapsed="false">
      <c r="E259" s="9" t="str">
        <f aca="false">IFERROR(INDEX(Categorias!$B:$B,MATCH(B259,Categorias!$A:$A,0)),"")</f>
        <v/>
      </c>
      <c r="F259" s="9" t="str">
        <f aca="false">IF(A259="","",TEXT(A259,"YYYY-MM"))</f>
        <v/>
      </c>
    </row>
    <row r="260" customFormat="false" ht="15" hidden="false" customHeight="false" outlineLevel="0" collapsed="false">
      <c r="E260" s="9" t="str">
        <f aca="false">IFERROR(INDEX(Categorias!$B:$B,MATCH(B260,Categorias!$A:$A,0)),"")</f>
        <v/>
      </c>
      <c r="F260" s="9" t="str">
        <f aca="false">IF(A260="","",TEXT(A260,"YYYY-MM"))</f>
        <v/>
      </c>
    </row>
    <row r="261" customFormat="false" ht="15" hidden="false" customHeight="false" outlineLevel="0" collapsed="false">
      <c r="E261" s="9" t="str">
        <f aca="false">IFERROR(INDEX(Categorias!$B:$B,MATCH(B261,Categorias!$A:$A,0)),"")</f>
        <v/>
      </c>
      <c r="F261" s="9" t="str">
        <f aca="false">IF(A261="","",TEXT(A261,"YYYY-MM"))</f>
        <v/>
      </c>
    </row>
    <row r="262" customFormat="false" ht="15" hidden="false" customHeight="false" outlineLevel="0" collapsed="false">
      <c r="E262" s="9" t="str">
        <f aca="false">IFERROR(INDEX(Categorias!$B:$B,MATCH(B262,Categorias!$A:$A,0)),"")</f>
        <v/>
      </c>
      <c r="F262" s="9" t="str">
        <f aca="false">IF(A262="","",TEXT(A262,"YYYY-MM"))</f>
        <v/>
      </c>
    </row>
    <row r="263" customFormat="false" ht="15" hidden="false" customHeight="false" outlineLevel="0" collapsed="false">
      <c r="E263" s="9" t="str">
        <f aca="false">IFERROR(INDEX(Categorias!$B:$B,MATCH(B263,Categorias!$A:$A,0)),"")</f>
        <v/>
      </c>
      <c r="F263" s="9" t="str">
        <f aca="false">IF(A263="","",TEXT(A263,"YYYY-MM"))</f>
        <v/>
      </c>
    </row>
    <row r="264" customFormat="false" ht="15" hidden="false" customHeight="false" outlineLevel="0" collapsed="false">
      <c r="E264" s="9" t="str">
        <f aca="false">IFERROR(INDEX(Categorias!$B:$B,MATCH(B264,Categorias!$A:$A,0)),"")</f>
        <v/>
      </c>
      <c r="F264" s="9" t="str">
        <f aca="false">IF(A264="","",TEXT(A264,"YYYY-MM"))</f>
        <v/>
      </c>
    </row>
    <row r="265" customFormat="false" ht="15" hidden="false" customHeight="false" outlineLevel="0" collapsed="false">
      <c r="E265" s="9" t="str">
        <f aca="false">IFERROR(INDEX(Categorias!$B:$B,MATCH(B265,Categorias!$A:$A,0)),"")</f>
        <v/>
      </c>
      <c r="F265" s="9" t="str">
        <f aca="false">IF(A265="","",TEXT(A265,"YYYY-MM"))</f>
        <v/>
      </c>
    </row>
    <row r="266" customFormat="false" ht="15" hidden="false" customHeight="false" outlineLevel="0" collapsed="false">
      <c r="E266" s="9" t="str">
        <f aca="false">IFERROR(INDEX(Categorias!$B:$B,MATCH(B266,Categorias!$A:$A,0)),"")</f>
        <v/>
      </c>
      <c r="F266" s="9" t="str">
        <f aca="false">IF(A266="","",TEXT(A266,"YYYY-MM"))</f>
        <v/>
      </c>
    </row>
    <row r="267" customFormat="false" ht="15" hidden="false" customHeight="false" outlineLevel="0" collapsed="false">
      <c r="E267" s="9" t="str">
        <f aca="false">IFERROR(INDEX(Categorias!$B:$B,MATCH(B267,Categorias!$A:$A,0)),"")</f>
        <v/>
      </c>
      <c r="F267" s="9" t="str">
        <f aca="false">IF(A267="","",TEXT(A267,"YYYY-MM"))</f>
        <v/>
      </c>
    </row>
    <row r="268" customFormat="false" ht="15" hidden="false" customHeight="false" outlineLevel="0" collapsed="false">
      <c r="E268" s="9" t="str">
        <f aca="false">IFERROR(INDEX(Categorias!$B:$B,MATCH(B268,Categorias!$A:$A,0)),"")</f>
        <v/>
      </c>
      <c r="F268" s="9" t="str">
        <f aca="false">IF(A268="","",TEXT(A268,"YYYY-MM"))</f>
        <v/>
      </c>
    </row>
    <row r="269" customFormat="false" ht="15" hidden="false" customHeight="false" outlineLevel="0" collapsed="false">
      <c r="E269" s="9" t="str">
        <f aca="false">IFERROR(INDEX(Categorias!$B:$B,MATCH(B269,Categorias!$A:$A,0)),"")</f>
        <v/>
      </c>
      <c r="F269" s="9" t="str">
        <f aca="false">IF(A269="","",TEXT(A269,"YYYY-MM"))</f>
        <v/>
      </c>
    </row>
    <row r="270" customFormat="false" ht="15" hidden="false" customHeight="false" outlineLevel="0" collapsed="false">
      <c r="E270" s="9" t="str">
        <f aca="false">IFERROR(INDEX(Categorias!$B:$B,MATCH(B270,Categorias!$A:$A,0)),"")</f>
        <v/>
      </c>
      <c r="F270" s="9" t="str">
        <f aca="false">IF(A270="","",TEXT(A270,"YYYY-MM"))</f>
        <v/>
      </c>
    </row>
    <row r="271" customFormat="false" ht="15" hidden="false" customHeight="false" outlineLevel="0" collapsed="false">
      <c r="E271" s="9" t="str">
        <f aca="false">IFERROR(INDEX(Categorias!$B:$B,MATCH(B271,Categorias!$A:$A,0)),"")</f>
        <v/>
      </c>
      <c r="F271" s="9" t="str">
        <f aca="false">IF(A271="","",TEXT(A271,"YYYY-MM"))</f>
        <v/>
      </c>
    </row>
    <row r="272" customFormat="false" ht="15" hidden="false" customHeight="false" outlineLevel="0" collapsed="false">
      <c r="E272" s="9" t="str">
        <f aca="false">IFERROR(INDEX(Categorias!$B:$B,MATCH(B272,Categorias!$A:$A,0)),"")</f>
        <v/>
      </c>
      <c r="F272" s="9" t="str">
        <f aca="false">IF(A272="","",TEXT(A272,"YYYY-MM"))</f>
        <v/>
      </c>
    </row>
    <row r="273" customFormat="false" ht="15" hidden="false" customHeight="false" outlineLevel="0" collapsed="false">
      <c r="E273" s="9" t="str">
        <f aca="false">IFERROR(INDEX(Categorias!$B:$B,MATCH(B273,Categorias!$A:$A,0)),"")</f>
        <v/>
      </c>
      <c r="F273" s="9" t="str">
        <f aca="false">IF(A273="","",TEXT(A273,"YYYY-MM"))</f>
        <v/>
      </c>
    </row>
    <row r="274" customFormat="false" ht="15" hidden="false" customHeight="false" outlineLevel="0" collapsed="false">
      <c r="E274" s="9" t="str">
        <f aca="false">IFERROR(INDEX(Categorias!$B:$B,MATCH(B274,Categorias!$A:$A,0)),"")</f>
        <v/>
      </c>
      <c r="F274" s="9" t="str">
        <f aca="false">IF(A274="","",TEXT(A274,"YYYY-MM"))</f>
        <v/>
      </c>
    </row>
    <row r="275" customFormat="false" ht="15" hidden="false" customHeight="false" outlineLevel="0" collapsed="false">
      <c r="E275" s="9" t="str">
        <f aca="false">IFERROR(INDEX(Categorias!$B:$B,MATCH(B275,Categorias!$A:$A,0)),"")</f>
        <v/>
      </c>
      <c r="F275" s="9" t="str">
        <f aca="false">IF(A275="","",TEXT(A275,"YYYY-MM"))</f>
        <v/>
      </c>
    </row>
    <row r="276" customFormat="false" ht="15" hidden="false" customHeight="false" outlineLevel="0" collapsed="false">
      <c r="E276" s="9" t="str">
        <f aca="false">IFERROR(INDEX(Categorias!$B:$B,MATCH(B276,Categorias!$A:$A,0)),"")</f>
        <v/>
      </c>
      <c r="F276" s="9" t="str">
        <f aca="false">IF(A276="","",TEXT(A276,"YYYY-MM"))</f>
        <v/>
      </c>
    </row>
    <row r="277" customFormat="false" ht="15" hidden="false" customHeight="false" outlineLevel="0" collapsed="false">
      <c r="E277" s="9" t="str">
        <f aca="false">IFERROR(INDEX(Categorias!$B:$B,MATCH(B277,Categorias!$A:$A,0)),"")</f>
        <v/>
      </c>
      <c r="F277" s="9" t="str">
        <f aca="false">IF(A277="","",TEXT(A277,"YYYY-MM"))</f>
        <v/>
      </c>
    </row>
    <row r="278" customFormat="false" ht="15" hidden="false" customHeight="false" outlineLevel="0" collapsed="false">
      <c r="E278" s="9" t="str">
        <f aca="false">IFERROR(INDEX(Categorias!$B:$B,MATCH(B278,Categorias!$A:$A,0)),"")</f>
        <v/>
      </c>
      <c r="F278" s="9" t="str">
        <f aca="false">IF(A278="","",TEXT(A278,"YYYY-MM"))</f>
        <v/>
      </c>
    </row>
    <row r="279" customFormat="false" ht="15" hidden="false" customHeight="false" outlineLevel="0" collapsed="false">
      <c r="E279" s="9" t="str">
        <f aca="false">IFERROR(INDEX(Categorias!$B:$B,MATCH(B279,Categorias!$A:$A,0)),"")</f>
        <v/>
      </c>
      <c r="F279" s="9" t="str">
        <f aca="false">IF(A279="","",TEXT(A279,"YYYY-MM"))</f>
        <v/>
      </c>
    </row>
    <row r="280" customFormat="false" ht="15" hidden="false" customHeight="false" outlineLevel="0" collapsed="false">
      <c r="E280" s="9" t="str">
        <f aca="false">IFERROR(INDEX(Categorias!$B:$B,MATCH(B280,Categorias!$A:$A,0)),"")</f>
        <v/>
      </c>
      <c r="F280" s="9" t="str">
        <f aca="false">IF(A280="","",TEXT(A280,"YYYY-MM"))</f>
        <v/>
      </c>
    </row>
    <row r="281" customFormat="false" ht="15" hidden="false" customHeight="false" outlineLevel="0" collapsed="false">
      <c r="E281" s="9" t="str">
        <f aca="false">IFERROR(INDEX(Categorias!$B:$B,MATCH(B281,Categorias!$A:$A,0)),"")</f>
        <v/>
      </c>
      <c r="F281" s="9" t="str">
        <f aca="false">IF(A281="","",TEXT(A281,"YYYY-MM"))</f>
        <v/>
      </c>
    </row>
    <row r="282" customFormat="false" ht="15" hidden="false" customHeight="false" outlineLevel="0" collapsed="false">
      <c r="E282" s="9" t="str">
        <f aca="false">IFERROR(INDEX(Categorias!$B:$B,MATCH(B282,Categorias!$A:$A,0)),"")</f>
        <v/>
      </c>
      <c r="F282" s="9" t="str">
        <f aca="false">IF(A282="","",TEXT(A282,"YYYY-MM"))</f>
        <v/>
      </c>
    </row>
    <row r="283" customFormat="false" ht="15" hidden="false" customHeight="false" outlineLevel="0" collapsed="false">
      <c r="E283" s="9" t="str">
        <f aca="false">IFERROR(INDEX(Categorias!$B:$B,MATCH(B283,Categorias!$A:$A,0)),"")</f>
        <v/>
      </c>
      <c r="F283" s="9" t="str">
        <f aca="false">IF(A283="","",TEXT(A283,"YYYY-MM"))</f>
        <v/>
      </c>
    </row>
    <row r="284" customFormat="false" ht="15" hidden="false" customHeight="false" outlineLevel="0" collapsed="false">
      <c r="E284" s="9" t="str">
        <f aca="false">IFERROR(INDEX(Categorias!$B:$B,MATCH(B284,Categorias!$A:$A,0)),"")</f>
        <v/>
      </c>
      <c r="F284" s="9" t="str">
        <f aca="false">IF(A284="","",TEXT(A284,"YYYY-MM"))</f>
        <v/>
      </c>
    </row>
    <row r="285" customFormat="false" ht="15" hidden="false" customHeight="false" outlineLevel="0" collapsed="false">
      <c r="E285" s="9" t="str">
        <f aca="false">IFERROR(INDEX(Categorias!$B:$B,MATCH(B285,Categorias!$A:$A,0)),"")</f>
        <v/>
      </c>
      <c r="F285" s="9" t="str">
        <f aca="false">IF(A285="","",TEXT(A285,"YYYY-MM"))</f>
        <v/>
      </c>
    </row>
    <row r="286" customFormat="false" ht="15" hidden="false" customHeight="false" outlineLevel="0" collapsed="false">
      <c r="E286" s="9" t="str">
        <f aca="false">IFERROR(INDEX(Categorias!$B:$B,MATCH(B286,Categorias!$A:$A,0)),"")</f>
        <v/>
      </c>
      <c r="F286" s="9" t="str">
        <f aca="false">IF(A286="","",TEXT(A286,"YYYY-MM"))</f>
        <v/>
      </c>
    </row>
    <row r="287" customFormat="false" ht="15" hidden="false" customHeight="false" outlineLevel="0" collapsed="false">
      <c r="E287" s="9" t="str">
        <f aca="false">IFERROR(INDEX(Categorias!$B:$B,MATCH(B287,Categorias!$A:$A,0)),"")</f>
        <v/>
      </c>
      <c r="F287" s="9" t="str">
        <f aca="false">IF(A287="","",TEXT(A287,"YYYY-MM"))</f>
        <v/>
      </c>
    </row>
    <row r="288" customFormat="false" ht="15" hidden="false" customHeight="false" outlineLevel="0" collapsed="false">
      <c r="E288" s="9" t="str">
        <f aca="false">IFERROR(INDEX(Categorias!$B:$B,MATCH(B288,Categorias!$A:$A,0)),"")</f>
        <v/>
      </c>
      <c r="F288" s="9" t="str">
        <f aca="false">IF(A288="","",TEXT(A288,"YYYY-MM"))</f>
        <v/>
      </c>
    </row>
    <row r="289" customFormat="false" ht="15" hidden="false" customHeight="false" outlineLevel="0" collapsed="false">
      <c r="E289" s="9" t="str">
        <f aca="false">IFERROR(INDEX(Categorias!$B:$B,MATCH(B289,Categorias!$A:$A,0)),"")</f>
        <v/>
      </c>
      <c r="F289" s="9" t="str">
        <f aca="false">IF(A289="","",TEXT(A289,"YYYY-MM"))</f>
        <v/>
      </c>
    </row>
    <row r="290" customFormat="false" ht="15" hidden="false" customHeight="false" outlineLevel="0" collapsed="false">
      <c r="E290" s="9" t="str">
        <f aca="false">IFERROR(INDEX(Categorias!$B:$B,MATCH(B290,Categorias!$A:$A,0)),"")</f>
        <v/>
      </c>
      <c r="F290" s="9" t="str">
        <f aca="false">IF(A290="","",TEXT(A290,"YYYY-MM"))</f>
        <v/>
      </c>
    </row>
    <row r="291" customFormat="false" ht="15" hidden="false" customHeight="false" outlineLevel="0" collapsed="false">
      <c r="E291" s="9" t="str">
        <f aca="false">IFERROR(INDEX(Categorias!$B:$B,MATCH(B291,Categorias!$A:$A,0)),"")</f>
        <v/>
      </c>
      <c r="F291" s="9" t="str">
        <f aca="false">IF(A291="","",TEXT(A291,"YYYY-MM"))</f>
        <v/>
      </c>
    </row>
    <row r="292" customFormat="false" ht="15" hidden="false" customHeight="false" outlineLevel="0" collapsed="false">
      <c r="E292" s="9" t="str">
        <f aca="false">IFERROR(INDEX(Categorias!$B:$B,MATCH(B292,Categorias!$A:$A,0)),"")</f>
        <v/>
      </c>
      <c r="F292" s="9" t="str">
        <f aca="false">IF(A292="","",TEXT(A292,"YYYY-MM"))</f>
        <v/>
      </c>
    </row>
    <row r="293" customFormat="false" ht="15" hidden="false" customHeight="false" outlineLevel="0" collapsed="false">
      <c r="E293" s="9" t="str">
        <f aca="false">IFERROR(INDEX(Categorias!$B:$B,MATCH(B293,Categorias!$A:$A,0)),"")</f>
        <v/>
      </c>
      <c r="F293" s="9" t="str">
        <f aca="false">IF(A293="","",TEXT(A293,"YYYY-MM"))</f>
        <v/>
      </c>
    </row>
    <row r="294" customFormat="false" ht="15" hidden="false" customHeight="false" outlineLevel="0" collapsed="false">
      <c r="E294" s="9" t="str">
        <f aca="false">IFERROR(INDEX(Categorias!$B:$B,MATCH(B294,Categorias!$A:$A,0)),"")</f>
        <v/>
      </c>
      <c r="F294" s="9" t="str">
        <f aca="false">IF(A294="","",TEXT(A294,"YYYY-MM"))</f>
        <v/>
      </c>
    </row>
    <row r="295" customFormat="false" ht="15" hidden="false" customHeight="false" outlineLevel="0" collapsed="false">
      <c r="E295" s="9" t="str">
        <f aca="false">IFERROR(INDEX(Categorias!$B:$B,MATCH(B295,Categorias!$A:$A,0)),"")</f>
        <v/>
      </c>
      <c r="F295" s="9" t="str">
        <f aca="false">IF(A295="","",TEXT(A295,"YYYY-MM"))</f>
        <v/>
      </c>
    </row>
    <row r="296" customFormat="false" ht="15" hidden="false" customHeight="false" outlineLevel="0" collapsed="false">
      <c r="E296" s="9" t="str">
        <f aca="false">IFERROR(INDEX(Categorias!$B:$B,MATCH(B296,Categorias!$A:$A,0)),"")</f>
        <v/>
      </c>
      <c r="F296" s="9" t="str">
        <f aca="false">IF(A296="","",TEXT(A296,"YYYY-MM"))</f>
        <v/>
      </c>
    </row>
    <row r="297" customFormat="false" ht="15" hidden="false" customHeight="false" outlineLevel="0" collapsed="false">
      <c r="E297" s="9" t="str">
        <f aca="false">IFERROR(INDEX(Categorias!$B:$B,MATCH(B297,Categorias!$A:$A,0)),"")</f>
        <v/>
      </c>
      <c r="F297" s="9" t="str">
        <f aca="false">IF(A297="","",TEXT(A297,"YYYY-MM"))</f>
        <v/>
      </c>
    </row>
    <row r="298" customFormat="false" ht="15" hidden="false" customHeight="false" outlineLevel="0" collapsed="false">
      <c r="E298" s="9" t="str">
        <f aca="false">IFERROR(INDEX(Categorias!$B:$B,MATCH(B298,Categorias!$A:$A,0)),"")</f>
        <v/>
      </c>
      <c r="F298" s="9" t="str">
        <f aca="false">IF(A298="","",TEXT(A298,"YYYY-MM"))</f>
        <v/>
      </c>
    </row>
  </sheetData>
  <mergeCells count="1">
    <mergeCell ref="A1:F1"/>
  </mergeCells>
  <dataValidations count="61">
    <dataValidation allowBlank="false" errorStyle="stop" operator="greaterThan" showDropDown="false" showErrorMessage="false" showInputMessage="false" sqref="A239" type="date">
      <formula1>DATE(2020,1,1)</formula1>
      <formula2>0</formula2>
    </dataValidation>
    <dataValidation allowBlank="false" errorStyle="stop" operator="greaterThan" showDropDown="false" showErrorMessage="false" showInputMessage="false" sqref="A240" type="date">
      <formula1>DATE(2020,1,1)</formula1>
      <formula2>0</formula2>
    </dataValidation>
    <dataValidation allowBlank="false" errorStyle="stop" operator="greaterThan" showDropDown="false" showErrorMessage="false" showInputMessage="false" sqref="A241" type="date">
      <formula1>DATE(2020,1,1)</formula1>
      <formula2>0</formula2>
    </dataValidation>
    <dataValidation allowBlank="false" errorStyle="stop" operator="greaterThan" showDropDown="false" showErrorMessage="false" showInputMessage="false" sqref="A242" type="date">
      <formula1>DATE(2020,1,1)</formula1>
      <formula2>0</formula2>
    </dataValidation>
    <dataValidation allowBlank="false" errorStyle="stop" operator="greaterThan" showDropDown="false" showErrorMessage="false" showInputMessage="false" sqref="A243" type="date">
      <formula1>DATE(2020,1,1)</formula1>
      <formula2>0</formula2>
    </dataValidation>
    <dataValidation allowBlank="false" errorStyle="stop" operator="greaterThan" showDropDown="false" showErrorMessage="false" showInputMessage="false" sqref="A244" type="date">
      <formula1>DATE(2020,1,1)</formula1>
      <formula2>0</formula2>
    </dataValidation>
    <dataValidation allowBlank="false" errorStyle="stop" operator="greaterThan" showDropDown="false" showErrorMessage="false" showInputMessage="false" sqref="A245" type="date">
      <formula1>DATE(2020,1,1)</formula1>
      <formula2>0</formula2>
    </dataValidation>
    <dataValidation allowBlank="false" errorStyle="stop" operator="greaterThan" showDropDown="false" showErrorMessage="false" showInputMessage="false" sqref="A246" type="date">
      <formula1>DATE(2020,1,1)</formula1>
      <formula2>0</formula2>
    </dataValidation>
    <dataValidation allowBlank="false" errorStyle="stop" operator="greaterThan" showDropDown="false" showErrorMessage="false" showInputMessage="false" sqref="A247" type="date">
      <formula1>DATE(2020,1,1)</formula1>
      <formula2>0</formula2>
    </dataValidation>
    <dataValidation allowBlank="false" errorStyle="stop" operator="greaterThan" showDropDown="false" showErrorMessage="false" showInputMessage="false" sqref="A248" type="date">
      <formula1>DATE(2020,1,1)</formula1>
      <formula2>0</formula2>
    </dataValidation>
    <dataValidation allowBlank="false" errorStyle="stop" operator="greaterThan" showDropDown="false" showErrorMessage="false" showInputMessage="false" sqref="A249" type="date">
      <formula1>DATE(2020,1,1)</formula1>
      <formula2>0</formula2>
    </dataValidation>
    <dataValidation allowBlank="false" errorStyle="stop" operator="greaterThan" showDropDown="false" showErrorMessage="false" showInputMessage="false" sqref="A250" type="date">
      <formula1>DATE(2020,1,1)</formula1>
      <formula2>0</formula2>
    </dataValidation>
    <dataValidation allowBlank="false" errorStyle="stop" operator="greaterThan" showDropDown="false" showErrorMessage="false" showInputMessage="false" sqref="A251" type="date">
      <formula1>DATE(2020,1,1)</formula1>
      <formula2>0</formula2>
    </dataValidation>
    <dataValidation allowBlank="false" errorStyle="stop" operator="greaterThan" showDropDown="false" showErrorMessage="false" showInputMessage="false" sqref="A252" type="date">
      <formula1>DATE(2020,1,1)</formula1>
      <formula2>0</formula2>
    </dataValidation>
    <dataValidation allowBlank="false" errorStyle="stop" operator="greaterThan" showDropDown="false" showErrorMessage="false" showInputMessage="false" sqref="A253" type="date">
      <formula1>DATE(2020,1,1)</formula1>
      <formula2>0</formula2>
    </dataValidation>
    <dataValidation allowBlank="false" errorStyle="stop" operator="greaterThan" showDropDown="false" showErrorMessage="false" showInputMessage="false" sqref="A254" type="date">
      <formula1>DATE(2020,1,1)</formula1>
      <formula2>0</formula2>
    </dataValidation>
    <dataValidation allowBlank="false" errorStyle="stop" operator="greaterThan" showDropDown="false" showErrorMessage="false" showInputMessage="false" sqref="A255" type="date">
      <formula1>DATE(2020,1,1)</formula1>
      <formula2>0</formula2>
    </dataValidation>
    <dataValidation allowBlank="false" errorStyle="stop" operator="greaterThan" showDropDown="false" showErrorMessage="false" showInputMessage="false" sqref="A256" type="date">
      <formula1>DATE(2020,1,1)</formula1>
      <formula2>0</formula2>
    </dataValidation>
    <dataValidation allowBlank="false" errorStyle="stop" operator="greaterThan" showDropDown="false" showErrorMessage="false" showInputMessage="false" sqref="A257" type="date">
      <formula1>DATE(2020,1,1)</formula1>
      <formula2>0</formula2>
    </dataValidation>
    <dataValidation allowBlank="false" errorStyle="stop" operator="greaterThan" showDropDown="false" showErrorMessage="false" showInputMessage="false" sqref="A258" type="date">
      <formula1>DATE(2020,1,1)</formula1>
      <formula2>0</formula2>
    </dataValidation>
    <dataValidation allowBlank="false" errorStyle="stop" operator="greaterThan" showDropDown="false" showErrorMessage="false" showInputMessage="false" sqref="A259" type="date">
      <formula1>DATE(2020,1,1)</formula1>
      <formula2>0</formula2>
    </dataValidation>
    <dataValidation allowBlank="false" errorStyle="stop" operator="greaterThan" showDropDown="false" showErrorMessage="false" showInputMessage="false" sqref="A260" type="date">
      <formula1>DATE(2020,1,1)</formula1>
      <formula2>0</formula2>
    </dataValidation>
    <dataValidation allowBlank="false" errorStyle="stop" operator="greaterThan" showDropDown="false" showErrorMessage="false" showInputMessage="false" sqref="A261" type="date">
      <formula1>DATE(2020,1,1)</formula1>
      <formula2>0</formula2>
    </dataValidation>
    <dataValidation allowBlank="false" errorStyle="stop" operator="greaterThan" showDropDown="false" showErrorMessage="false" showInputMessage="false" sqref="A262" type="date">
      <formula1>DATE(2020,1,1)</formula1>
      <formula2>0</formula2>
    </dataValidation>
    <dataValidation allowBlank="false" errorStyle="stop" operator="greaterThan" showDropDown="false" showErrorMessage="false" showInputMessage="false" sqref="A263" type="date">
      <formula1>DATE(2020,1,1)</formula1>
      <formula2>0</formula2>
    </dataValidation>
    <dataValidation allowBlank="false" errorStyle="stop" operator="greaterThan" showDropDown="false" showErrorMessage="false" showInputMessage="false" sqref="A264" type="date">
      <formula1>DATE(2020,1,1)</formula1>
      <formula2>0</formula2>
    </dataValidation>
    <dataValidation allowBlank="false" errorStyle="stop" operator="greaterThan" showDropDown="false" showErrorMessage="false" showInputMessage="false" sqref="A265" type="date">
      <formula1>DATE(2020,1,1)</formula1>
      <formula2>0</formula2>
    </dataValidation>
    <dataValidation allowBlank="false" errorStyle="stop" operator="greaterThan" showDropDown="false" showErrorMessage="false" showInputMessage="false" sqref="A266" type="date">
      <formula1>DATE(2020,1,1)</formula1>
      <formula2>0</formula2>
    </dataValidation>
    <dataValidation allowBlank="false" errorStyle="stop" operator="greaterThan" showDropDown="false" showErrorMessage="false" showInputMessage="false" sqref="A267" type="date">
      <formula1>DATE(2020,1,1)</formula1>
      <formula2>0</formula2>
    </dataValidation>
    <dataValidation allowBlank="false" errorStyle="stop" operator="greaterThan" showDropDown="false" showErrorMessage="false" showInputMessage="false" sqref="A268" type="date">
      <formula1>DATE(2020,1,1)</formula1>
      <formula2>0</formula2>
    </dataValidation>
    <dataValidation allowBlank="false" errorStyle="stop" operator="greaterThan" showDropDown="false" showErrorMessage="false" showInputMessage="false" sqref="A269" type="date">
      <formula1>DATE(2020,1,1)</formula1>
      <formula2>0</formula2>
    </dataValidation>
    <dataValidation allowBlank="false" errorStyle="stop" operator="greaterThan" showDropDown="false" showErrorMessage="false" showInputMessage="false" sqref="A270" type="date">
      <formula1>DATE(2020,1,1)</formula1>
      <formula2>0</formula2>
    </dataValidation>
    <dataValidation allowBlank="false" errorStyle="stop" operator="greaterThan" showDropDown="false" showErrorMessage="false" showInputMessage="false" sqref="A271" type="date">
      <formula1>DATE(2020,1,1)</formula1>
      <formula2>0</formula2>
    </dataValidation>
    <dataValidation allowBlank="false" errorStyle="stop" operator="greaterThan" showDropDown="false" showErrorMessage="false" showInputMessage="false" sqref="A272" type="date">
      <formula1>DATE(2020,1,1)</formula1>
      <formula2>0</formula2>
    </dataValidation>
    <dataValidation allowBlank="false" errorStyle="stop" operator="greaterThan" showDropDown="false" showErrorMessage="false" showInputMessage="false" sqref="A273" type="date">
      <formula1>DATE(2020,1,1)</formula1>
      <formula2>0</formula2>
    </dataValidation>
    <dataValidation allowBlank="false" errorStyle="stop" operator="greaterThan" showDropDown="false" showErrorMessage="false" showInputMessage="false" sqref="A274" type="date">
      <formula1>DATE(2020,1,1)</formula1>
      <formula2>0</formula2>
    </dataValidation>
    <dataValidation allowBlank="false" errorStyle="stop" operator="greaterThan" showDropDown="false" showErrorMessage="false" showInputMessage="false" sqref="A275" type="date">
      <formula1>DATE(2020,1,1)</formula1>
      <formula2>0</formula2>
    </dataValidation>
    <dataValidation allowBlank="false" errorStyle="stop" operator="greaterThan" showDropDown="false" showErrorMessage="false" showInputMessage="false" sqref="A276" type="date">
      <formula1>DATE(2020,1,1)</formula1>
      <formula2>0</formula2>
    </dataValidation>
    <dataValidation allowBlank="false" errorStyle="stop" operator="greaterThan" showDropDown="false" showErrorMessage="false" showInputMessage="false" sqref="A277" type="date">
      <formula1>DATE(2020,1,1)</formula1>
      <formula2>0</formula2>
    </dataValidation>
    <dataValidation allowBlank="false" errorStyle="stop" operator="greaterThan" showDropDown="false" showErrorMessage="false" showInputMessage="false" sqref="A278" type="date">
      <formula1>DATE(2020,1,1)</formula1>
      <formula2>0</formula2>
    </dataValidation>
    <dataValidation allowBlank="false" errorStyle="stop" operator="greaterThan" showDropDown="false" showErrorMessage="false" showInputMessage="false" sqref="A279" type="date">
      <formula1>DATE(2020,1,1)</formula1>
      <formula2>0</formula2>
    </dataValidation>
    <dataValidation allowBlank="false" errorStyle="stop" operator="greaterThan" showDropDown="false" showErrorMessage="false" showInputMessage="false" sqref="A280" type="date">
      <formula1>DATE(2020,1,1)</formula1>
      <formula2>0</formula2>
    </dataValidation>
    <dataValidation allowBlank="false" errorStyle="stop" operator="greaterThan" showDropDown="false" showErrorMessage="false" showInputMessage="false" sqref="A281" type="date">
      <formula1>DATE(2020,1,1)</formula1>
      <formula2>0</formula2>
    </dataValidation>
    <dataValidation allowBlank="false" errorStyle="stop" operator="greaterThan" showDropDown="false" showErrorMessage="false" showInputMessage="false" sqref="A282" type="date">
      <formula1>DATE(2020,1,1)</formula1>
      <formula2>0</formula2>
    </dataValidation>
    <dataValidation allowBlank="false" errorStyle="stop" operator="greaterThan" showDropDown="false" showErrorMessage="false" showInputMessage="false" sqref="A283" type="date">
      <formula1>DATE(2020,1,1)</formula1>
      <formula2>0</formula2>
    </dataValidation>
    <dataValidation allowBlank="false" errorStyle="stop" operator="greaterThan" showDropDown="false" showErrorMessage="false" showInputMessage="false" sqref="A284" type="date">
      <formula1>DATE(2020,1,1)</formula1>
      <formula2>0</formula2>
    </dataValidation>
    <dataValidation allowBlank="false" errorStyle="stop" operator="greaterThan" showDropDown="false" showErrorMessage="false" showInputMessage="false" sqref="A285" type="date">
      <formula1>DATE(2020,1,1)</formula1>
      <formula2>0</formula2>
    </dataValidation>
    <dataValidation allowBlank="false" errorStyle="stop" operator="greaterThan" showDropDown="false" showErrorMessage="false" showInputMessage="false" sqref="A286" type="date">
      <formula1>DATE(2020,1,1)</formula1>
      <formula2>0</formula2>
    </dataValidation>
    <dataValidation allowBlank="false" errorStyle="stop" operator="greaterThan" showDropDown="false" showErrorMessage="false" showInputMessage="false" sqref="A287" type="date">
      <formula1>DATE(2020,1,1)</formula1>
      <formula2>0</formula2>
    </dataValidation>
    <dataValidation allowBlank="false" errorStyle="stop" operator="greaterThan" showDropDown="false" showErrorMessage="false" showInputMessage="false" sqref="A288" type="date">
      <formula1>DATE(2020,1,1)</formula1>
      <formula2>0</formula2>
    </dataValidation>
    <dataValidation allowBlank="false" errorStyle="stop" operator="greaterThan" showDropDown="false" showErrorMessage="false" showInputMessage="false" sqref="A289" type="date">
      <formula1>DATE(2020,1,1)</formula1>
      <formula2>0</formula2>
    </dataValidation>
    <dataValidation allowBlank="false" errorStyle="stop" operator="greaterThan" showDropDown="false" showErrorMessage="false" showInputMessage="false" sqref="A290" type="date">
      <formula1>DATE(2020,1,1)</formula1>
      <formula2>0</formula2>
    </dataValidation>
    <dataValidation allowBlank="false" errorStyle="stop" operator="greaterThan" showDropDown="false" showErrorMessage="false" showInputMessage="false" sqref="A291" type="date">
      <formula1>DATE(2020,1,1)</formula1>
      <formula2>0</formula2>
    </dataValidation>
    <dataValidation allowBlank="false" errorStyle="stop" operator="greaterThan" showDropDown="false" showErrorMessage="false" showInputMessage="false" sqref="A292" type="date">
      <formula1>DATE(2020,1,1)</formula1>
      <formula2>0</formula2>
    </dataValidation>
    <dataValidation allowBlank="false" errorStyle="stop" operator="greaterThan" showDropDown="false" showErrorMessage="false" showInputMessage="false" sqref="A293" type="date">
      <formula1>DATE(2020,1,1)</formula1>
      <formula2>0</formula2>
    </dataValidation>
    <dataValidation allowBlank="false" errorStyle="stop" operator="greaterThan" showDropDown="false" showErrorMessage="false" showInputMessage="false" sqref="A294" type="date">
      <formula1>DATE(2020,1,1)</formula1>
      <formula2>0</formula2>
    </dataValidation>
    <dataValidation allowBlank="false" errorStyle="stop" operator="greaterThan" showDropDown="false" showErrorMessage="false" showInputMessage="false" sqref="A295" type="date">
      <formula1>DATE(2020,1,1)</formula1>
      <formula2>0</formula2>
    </dataValidation>
    <dataValidation allowBlank="false" errorStyle="stop" operator="greaterThan" showDropDown="false" showErrorMessage="false" showInputMessage="false" sqref="A296" type="date">
      <formula1>DATE(2020,1,1)</formula1>
      <formula2>0</formula2>
    </dataValidation>
    <dataValidation allowBlank="false" errorStyle="stop" operator="greaterThan" showDropDown="false" showErrorMessage="false" showInputMessage="false" sqref="A297" type="date">
      <formula1>DATE(2020,1,1)</formula1>
      <formula2>0</formula2>
    </dataValidation>
    <dataValidation allowBlank="false" errorStyle="stop" operator="greaterThan" showDropDown="false" showErrorMessage="false" showInputMessage="false" sqref="A298" type="date">
      <formula1>DATE(2020,1,1)</formula1>
      <formula2>0</formula2>
    </dataValidation>
    <dataValidation allowBlank="true" error="Escolha uma categoria da lista." errorStyle="stop" operator="between" showDropDown="false" showErrorMessage="false" showInputMessage="false" sqref="B4:B298" type="list">
      <formula1>Categorias!$A$2:$A$14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5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0" t="s">
        <v>173</v>
      </c>
    </row>
    <row r="2" customFormat="false" ht="15" hidden="false" customHeight="false" outlineLevel="0" collapsed="false">
      <c r="A2" s="11" t="s">
        <v>174</v>
      </c>
    </row>
    <row r="4" customFormat="false" ht="15" hidden="false" customHeight="false" outlineLevel="0" collapsed="false">
      <c r="A4" s="1" t="s">
        <v>175</v>
      </c>
      <c r="B4" s="1" t="s">
        <v>3</v>
      </c>
      <c r="C4" s="1" t="s">
        <v>176</v>
      </c>
      <c r="D4" s="1" t="s">
        <v>177</v>
      </c>
      <c r="E4" s="1" t="s">
        <v>178</v>
      </c>
    </row>
    <row r="5" customFormat="false" ht="15" hidden="false" customHeight="false" outlineLevel="0" collapsed="false">
      <c r="A5" s="12" t="s">
        <v>179</v>
      </c>
      <c r="B5" s="13" t="n">
        <f aca="false">SUMIFS(Lançamentos!$D:$D,Lançamentos!$F:$F,A5,Lançamentos!$E:$E,"Receita")</f>
        <v>69975.33</v>
      </c>
      <c r="C5" s="13" t="n">
        <f aca="false">SUMIFS(Lançamentos!$D:$D,Lançamentos!$F:$F,A5,Lançamentos!$E:$E,"Despesa")</f>
        <v>48768.39</v>
      </c>
      <c r="D5" s="13" t="n">
        <f aca="false">B5-C5</f>
        <v>21206.94</v>
      </c>
      <c r="E5" s="14" t="n">
        <f aca="false">IFERROR(D5/B5,0)</f>
        <v>0.303063093807489</v>
      </c>
    </row>
    <row r="6" customFormat="false" ht="15" hidden="false" customHeight="false" outlineLevel="0" collapsed="false">
      <c r="A6" s="12" t="s">
        <v>180</v>
      </c>
      <c r="B6" s="13" t="n">
        <f aca="false">SUMIFS(Lançamentos!$D:$D,Lançamentos!$F:$F,A6,Lançamentos!$E:$E,"Receita")</f>
        <v>67871.35</v>
      </c>
      <c r="C6" s="13" t="n">
        <f aca="false">SUMIFS(Lançamentos!$D:$D,Lançamentos!$F:$F,A6,Lançamentos!$E:$E,"Despesa")</f>
        <v>40592.44</v>
      </c>
      <c r="D6" s="13" t="n">
        <f aca="false">B6-C6</f>
        <v>27278.91</v>
      </c>
      <c r="E6" s="14" t="n">
        <f aca="false">IFERROR(D6/B6,0)</f>
        <v>0.401920839942037</v>
      </c>
    </row>
    <row r="7" customFormat="false" ht="15" hidden="false" customHeight="false" outlineLevel="0" collapsed="false">
      <c r="A7" s="12" t="s">
        <v>181</v>
      </c>
      <c r="B7" s="13" t="n">
        <f aca="false">SUMIFS(Lançamentos!$D:$D,Lançamentos!$F:$F,A7,Lançamentos!$E:$E,"Receita")</f>
        <v>68367.51</v>
      </c>
      <c r="C7" s="13" t="n">
        <f aca="false">SUMIFS(Lançamentos!$D:$D,Lançamentos!$F:$F,A7,Lançamentos!$E:$E,"Despesa")</f>
        <v>50560.97</v>
      </c>
      <c r="D7" s="13" t="n">
        <f aca="false">B7-C7</f>
        <v>17806.54</v>
      </c>
      <c r="E7" s="14" t="n">
        <f aca="false">IFERROR(D7/B7,0)</f>
        <v>0.260453247456285</v>
      </c>
    </row>
    <row r="8" customFormat="false" ht="15" hidden="false" customHeight="false" outlineLevel="0" collapsed="false">
      <c r="A8" s="12" t="s">
        <v>182</v>
      </c>
      <c r="B8" s="13" t="n">
        <f aca="false">SUMIFS(Lançamentos!$D:$D,Lançamentos!$F:$F,A8,Lançamentos!$E:$E,"Receita")</f>
        <v>116432.58</v>
      </c>
      <c r="C8" s="13" t="n">
        <f aca="false">SUMIFS(Lançamentos!$D:$D,Lançamentos!$F:$F,A8,Lançamentos!$E:$E,"Despesa")</f>
        <v>60418.012</v>
      </c>
      <c r="D8" s="13" t="n">
        <f aca="false">B8-C8</f>
        <v>56014.568</v>
      </c>
      <c r="E8" s="14" t="n">
        <f aca="false">IFERROR(D8/B8,0)</f>
        <v>0.481090155349989</v>
      </c>
    </row>
    <row r="9" customFormat="false" ht="15" hidden="false" customHeight="false" outlineLevel="0" collapsed="false">
      <c r="A9" s="12" t="s">
        <v>183</v>
      </c>
      <c r="B9" s="13" t="n">
        <f aca="false">SUMIFS(Lançamentos!$D:$D,Lançamentos!$F:$F,A9,Lançamentos!$E:$E,"Receita")</f>
        <v>55327.85</v>
      </c>
      <c r="C9" s="13" t="n">
        <f aca="false">SUMIFS(Lançamentos!$D:$D,Lançamentos!$F:$F,A9,Lançamentos!$E:$E,"Despesa")</f>
        <v>32937</v>
      </c>
      <c r="D9" s="13" t="n">
        <f aca="false">B9-C9</f>
        <v>22390.85</v>
      </c>
      <c r="E9" s="14" t="n">
        <f aca="false">IFERROR(D9/B9,0)</f>
        <v>0.404694019377221</v>
      </c>
    </row>
    <row r="10" customFormat="false" ht="15" hidden="false" customHeight="false" outlineLevel="0" collapsed="false">
      <c r="A10" s="15" t="s">
        <v>184</v>
      </c>
      <c r="B10" s="16" t="n">
        <f aca="false">SUM(B5:B9)</f>
        <v>377974.62</v>
      </c>
      <c r="C10" s="16" t="n">
        <f aca="false">SUM(C5:C9)</f>
        <v>233276.812</v>
      </c>
      <c r="D10" s="16" t="n">
        <f aca="false">SUM(D5:D9)</f>
        <v>144697.808</v>
      </c>
      <c r="E10" s="17" t="n">
        <f aca="false">IFERROR(D10/B10,0)</f>
        <v>0.382824137768827</v>
      </c>
    </row>
    <row r="12" customFormat="false" ht="15" hidden="false" customHeight="false" outlineLevel="0" collapsed="false">
      <c r="A12" s="15" t="s">
        <v>185</v>
      </c>
    </row>
    <row r="13" customFormat="false" ht="15" hidden="false" customHeight="false" outlineLevel="0" collapsed="false">
      <c r="A13" s="1" t="s">
        <v>0</v>
      </c>
      <c r="B13" s="1" t="s">
        <v>20</v>
      </c>
    </row>
    <row r="14" customFormat="false" ht="15" hidden="false" customHeight="false" outlineLevel="0" collapsed="false">
      <c r="A14" s="12" t="s">
        <v>2</v>
      </c>
      <c r="B14" s="13" t="n">
        <f aca="false">SUMIFS(Lançamentos!$D:$D,Lançamentos!$B:$B,A14)</f>
        <v>377974.62</v>
      </c>
    </row>
    <row r="15" customFormat="false" ht="15" hidden="false" customHeight="false" outlineLevel="0" collapsed="false">
      <c r="A15" s="12" t="s">
        <v>4</v>
      </c>
      <c r="B15" s="13" t="n">
        <f aca="false">SUMIFS(Lançamentos!$D:$D,Lançamentos!$B:$B,A15)</f>
        <v>98312.992</v>
      </c>
    </row>
    <row r="16" customFormat="false" ht="15" hidden="false" customHeight="false" outlineLevel="0" collapsed="false">
      <c r="A16" s="12" t="s">
        <v>6</v>
      </c>
      <c r="B16" s="13" t="n">
        <f aca="false">SUMIFS(Lançamentos!$D:$D,Lançamentos!$B:$B,A16)</f>
        <v>6704.02</v>
      </c>
    </row>
    <row r="17" customFormat="false" ht="15" hidden="false" customHeight="false" outlineLevel="0" collapsed="false">
      <c r="A17" s="12" t="s">
        <v>7</v>
      </c>
      <c r="B17" s="13" t="n">
        <f aca="false">SUMIFS(Lançamentos!$D:$D,Lançamentos!$B:$B,A17)</f>
        <v>2095.84</v>
      </c>
    </row>
    <row r="18" customFormat="false" ht="15" hidden="false" customHeight="false" outlineLevel="0" collapsed="false">
      <c r="A18" s="12" t="s">
        <v>8</v>
      </c>
      <c r="B18" s="13" t="n">
        <f aca="false">SUMIFS(Lançamentos!$D:$D,Lançamentos!$B:$B,A18)</f>
        <v>27067.83</v>
      </c>
    </row>
    <row r="19" customFormat="false" ht="15" hidden="false" customHeight="false" outlineLevel="0" collapsed="false">
      <c r="A19" s="12" t="s">
        <v>9</v>
      </c>
      <c r="B19" s="13" t="n">
        <f aca="false">SUMIFS(Lançamentos!$D:$D,Lançamentos!$B:$B,A19)</f>
        <v>5622.17</v>
      </c>
    </row>
    <row r="20" customFormat="false" ht="15" hidden="false" customHeight="false" outlineLevel="0" collapsed="false">
      <c r="A20" s="12" t="s">
        <v>10</v>
      </c>
      <c r="B20" s="13" t="n">
        <f aca="false">SUMIFS(Lançamentos!$D:$D,Lançamentos!$B:$B,A20)</f>
        <v>3269.94</v>
      </c>
    </row>
    <row r="21" customFormat="false" ht="15" hidden="false" customHeight="false" outlineLevel="0" collapsed="false">
      <c r="A21" s="12" t="s">
        <v>11</v>
      </c>
      <c r="B21" s="13" t="n">
        <f aca="false">SUMIFS(Lançamentos!$D:$D,Lançamentos!$B:$B,A21)</f>
        <v>42434.34</v>
      </c>
    </row>
    <row r="22" customFormat="false" ht="15" hidden="false" customHeight="false" outlineLevel="0" collapsed="false">
      <c r="A22" s="12" t="s">
        <v>12</v>
      </c>
      <c r="B22" s="13" t="n">
        <f aca="false">SUMIFS(Lançamentos!$D:$D,Lançamentos!$B:$B,A22)</f>
        <v>1500</v>
      </c>
    </row>
    <row r="23" customFormat="false" ht="15" hidden="false" customHeight="false" outlineLevel="0" collapsed="false">
      <c r="A23" s="12" t="s">
        <v>13</v>
      </c>
      <c r="B23" s="13" t="n">
        <f aca="false">SUMIFS(Lançamentos!$D:$D,Lançamentos!$B:$B,A23)</f>
        <v>27000</v>
      </c>
    </row>
    <row r="24" customFormat="false" ht="15" hidden="false" customHeight="false" outlineLevel="0" collapsed="false">
      <c r="A24" s="12" t="s">
        <v>14</v>
      </c>
      <c r="B24" s="13" t="n">
        <f aca="false">SUMIFS(Lançamentos!$D:$D,Lançamentos!$B:$B,A24)</f>
        <v>6262.48</v>
      </c>
    </row>
    <row r="25" customFormat="false" ht="15" hidden="false" customHeight="false" outlineLevel="0" collapsed="false">
      <c r="A25" s="12" t="s">
        <v>15</v>
      </c>
      <c r="B25" s="13" t="n">
        <f aca="false">SUMIFS(Lançamentos!$D:$D,Lançamentos!$B:$B,A25)</f>
        <v>6960.76</v>
      </c>
    </row>
    <row r="26" customFormat="false" ht="15" hidden="false" customHeight="false" outlineLevel="0" collapsed="false">
      <c r="A26" s="12" t="s">
        <v>16</v>
      </c>
      <c r="B26" s="13" t="n">
        <f aca="false">SUMIFS(Lançamentos!$D:$D,Lançamentos!$B:$B,A26)</f>
        <v>6046.44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2026-09-02T04:01:25Z</dcterms:created>
  <dc:creator>openpyxl</dc:creator>
  <dc:description/>
  <dc:language>en-US</dc:language>
  <cp:lastModifiedBy/>
  <dcterms:modified xsi:type="dcterms:W3CDTF">2026-09-02T04:01:25Z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