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Listas" sheetId="1" state="hidden" r:id="rId3"/>
    <sheet name="Calendário" sheetId="2" state="visible" r:id="rId4"/>
    <sheet name="Movimento" sheetId="3" state="visible" r:id="rId5"/>
    <sheet name="Despesas" sheetId="4" state="visible" r:id="rId6"/>
    <sheet name="Dia a Dia" sheetId="5" state="visible" r:id="rId7"/>
    <sheet name="Apresentação" sheetId="6" state="visible" r:id="rId8"/>
  </sheets>
  <definedNames>
    <definedName function="false" hidden="true" localSheetId="3" name="_xlnm._FilterDatabase" vbProcedure="false">Despesas!$C$7:$G$207</definedName>
    <definedName function="false" hidden="true" localSheetId="2" name="_xlnm._FilterDatabase" vbProcedure="false">Movimento!$C$7:$G$407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<sst xmlns="http://schemas.openxmlformats.org/spreadsheetml/2006/main" count="128" uniqueCount="75">
  <si>
    <t xml:space="preserve">0. Custos Diretos</t>
  </si>
  <si>
    <t xml:space="preserve">Clínico</t>
  </si>
  <si>
    <t xml:space="preserve">Crédito</t>
  </si>
  <si>
    <t xml:space="preserve">Sim</t>
  </si>
  <si>
    <t xml:space="preserve">1. Administrativa</t>
  </si>
  <si>
    <t xml:space="preserve">Ortodontia</t>
  </si>
  <si>
    <t xml:space="preserve">Débito</t>
  </si>
  <si>
    <t xml:space="preserve">Não</t>
  </si>
  <si>
    <t xml:space="preserve">2.Financeira</t>
  </si>
  <si>
    <t xml:space="preserve">Prótese</t>
  </si>
  <si>
    <t xml:space="preserve">PIX</t>
  </si>
  <si>
    <t xml:space="preserve">3.Ocupação</t>
  </si>
  <si>
    <t xml:space="preserve">Implante</t>
  </si>
  <si>
    <t xml:space="preserve">Financeira</t>
  </si>
  <si>
    <t xml:space="preserve">4.Despesas com Marketing</t>
  </si>
  <si>
    <t xml:space="preserve">Estética</t>
  </si>
  <si>
    <t xml:space="preserve">Dinheiro</t>
  </si>
  <si>
    <t xml:space="preserve">5.Despesa com Utilidades</t>
  </si>
  <si>
    <t xml:space="preserve">Avaliação</t>
  </si>
  <si>
    <t xml:space="preserve">Boleto</t>
  </si>
  <si>
    <t xml:space="preserve">6.Despesa com Pessoal</t>
  </si>
  <si>
    <t xml:space="preserve">Convênio</t>
  </si>
  <si>
    <t xml:space="preserve">7.Despesas Comerciais</t>
  </si>
  <si>
    <t xml:space="preserve">9. Administração Pinheiro</t>
  </si>
  <si>
    <t xml:space="preserve">10.Tributos</t>
  </si>
  <si>
    <t xml:space="preserve">Deduções da Receita Bruta</t>
  </si>
  <si>
    <t xml:space="preserve">Despesas Empreendedor</t>
  </si>
  <si>
    <t xml:space="preserve">CALENDÁRIO · SETEMBRO 2026</t>
  </si>
  <si>
    <t xml:space="preserve">Marque Não nos dias que a clínica não abre — feriado, folga, o que for. A meta se redistribui sozinha entre os dias que sobram.</t>
  </si>
  <si>
    <t xml:space="preserve">Meta do mês</t>
  </si>
  <si>
    <t xml:space="preserve">dias que a clínica abre</t>
  </si>
  <si>
    <t xml:space="preserve">Data</t>
  </si>
  <si>
    <t xml:space="preserve">Trabalha?</t>
  </si>
  <si>
    <t xml:space="preserve">Meta do dia</t>
  </si>
  <si>
    <t xml:space="preserve">SORRISO MAIOR · SETEMBRO 2026</t>
  </si>
  <si>
    <t xml:space="preserve">Cada venda, uma linha, uma vez só. Procedimento e forma de pagamento na mesma linha — todo o resto da planilha lê daqui.</t>
  </si>
  <si>
    <t xml:space="preserve">Vendido até agora</t>
  </si>
  <si>
    <t xml:space="preserve">Atingimento</t>
  </si>
  <si>
    <t xml:space="preserve">Tendência</t>
  </si>
  <si>
    <t xml:space="preserve">Procedimento</t>
  </si>
  <si>
    <t xml:space="preserve">Forma de recebimento</t>
  </si>
  <si>
    <t xml:space="preserve">Valor</t>
  </si>
  <si>
    <t xml:space="preserve">Paciente / Obs.</t>
  </si>
  <si>
    <t xml:space="preserve">DESPESAS · SETEMBRO 2026</t>
  </si>
  <si>
    <t xml:space="preserve">Cada saída, uma linha. Vira custo no Resumo e no DRE.</t>
  </si>
  <si>
    <t xml:space="preserve">Total no mês</t>
  </si>
  <si>
    <t xml:space="preserve">Categoria</t>
  </si>
  <si>
    <t xml:space="preserve">Fornecedor / Descrição</t>
  </si>
  <si>
    <t xml:space="preserve">Status</t>
  </si>
  <si>
    <t xml:space="preserve">DIA A DIA · SETEMBRO 2026</t>
  </si>
  <si>
    <t xml:space="preserve">Nada se digita aqui. Cada linha lê do Movimento e do Calendário.</t>
  </si>
  <si>
    <t xml:space="preserve">Trabalha</t>
  </si>
  <si>
    <t xml:space="preserve">Vendido</t>
  </si>
  <si>
    <t xml:space="preserve">% da meta</t>
  </si>
  <si>
    <t xml:space="preserve">Bateu?</t>
  </si>
  <si>
    <t xml:space="preserve">Acumulado</t>
  </si>
  <si>
    <t xml:space="preserve">Meta acum.</t>
  </si>
  <si>
    <t xml:space="preserve">Dif. acum.</t>
  </si>
  <si>
    <t xml:space="preserve">TOTAL</t>
  </si>
  <si>
    <t xml:space="preserve">SORRISO MAIOR</t>
  </si>
  <si>
    <t xml:space="preserve">SETEMBRO / 2026</t>
  </si>
  <si>
    <t xml:space="preserve">META</t>
  </si>
  <si>
    <t xml:space="preserve">VENDIDO</t>
  </si>
  <si>
    <t xml:space="preserve">TENDÊNCIA</t>
  </si>
  <si>
    <t xml:space="preserve">ATINGIMENTO</t>
  </si>
  <si>
    <t xml:space="preserve">DIAS QUE BATERAM A META</t>
  </si>
  <si>
    <t xml:space="preserve">POR PROCEDIMENTO</t>
  </si>
  <si>
    <t xml:space="preserve">POR RECEBIMENTO</t>
  </si>
  <si>
    <t xml:space="preserve">%</t>
  </si>
  <si>
    <t xml:space="preserve">Forma</t>
  </si>
  <si>
    <t xml:space="preserve">RESULTADO DO MÊS</t>
  </si>
  <si>
    <t xml:space="preserve">Receita</t>
  </si>
  <si>
    <t xml:space="preserve">Despesas</t>
  </si>
  <si>
    <t xml:space="preserve">Resultado</t>
  </si>
  <si>
    <t xml:space="preserve">Margem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</si>
</sst>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;[RED]&quot;-R$ &quot;#,##0.00;\—"/>
    <numFmt numFmtId="166" formatCode="General"/>
    <numFmt numFmtId="167" formatCode="[$-416]dd/mm&quot;  &quot;ddd"/>
    <numFmt numFmtId="168" formatCode="0.0%"/>
    <numFmt numFmtId="169" formatCode="dd/mm"/>
    <numFmt numFmtId="170" formatCode="#,##0;[RED]\-#,##0;\—"/>
    <numFmt numFmtId="171" formatCode="&quot;R$ &quot;#,##0;[RED]&quot;-R$ &quot;#,##0;\—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b val="true"/>
      <sz val="12"/>
      <color rgb="FF1A1A1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808080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22"/>
      <color rgb="FF1A1A1A"/>
      <name val="Calibri"/>
      <family val="0"/>
      <charset val="1"/>
    </font>
    <font>
      <sz val="12"/>
      <color rgb="FF7F7F7F"/>
      <name val="Calibri"/>
      <family val="0"/>
      <charset val="1"/>
    </font>
    <font>
      <b val="true"/>
      <sz val="18"/>
      <color rgb="FF1A1A1A"/>
      <name val="Calibri"/>
      <family val="0"/>
      <charset val="1"/>
    </font>
    <font>
      <b val="true"/>
      <sz val="14"/>
      <color rgb="FF1A1A1A"/>
      <name val="Calibri"/>
      <family val="0"/>
      <charset val="1"/>
    </font>
    <font>
      <b val="true"/>
      <sz val="12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1A1A1A"/>
        <bgColor rgb="FF333300"/>
      </patternFill>
    </fill>
    <fill>
      <patternFill patternType="solid">
        <fgColor rgb="FFE8E8E8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1A1A1A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1F7A3D"/>
      </font>
    </dxf>
    <dxf>
      <font>
        <name val="Calibri"/>
        <charset val="1"/>
        <family val="0"/>
        <color rgb="FFC00000"/>
      </font>
    </dxf>
    <dxf>
      <font>
        <name val="Calibri"/>
        <charset val="1"/>
        <family val="0"/>
        <b val="1"/>
        <color rgb="FFC00000"/>
        <sz val="12"/>
      </font>
    </dxf>
    <dxf>
      <font>
        <name val="Calibri"/>
        <charset val="1"/>
        <family val="0"/>
        <b val="1"/>
        <color rgb="FF1F7A3D"/>
        <sz val="12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990360</xdr:colOff>
      <xdr:row>3</xdr:row>
      <xdr:rowOff>28440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990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990360</xdr:colOff>
      <xdr:row>3</xdr:row>
      <xdr:rowOff>28440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990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990360</xdr:colOff>
      <xdr:row>3</xdr:row>
      <xdr:rowOff>37800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990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990360</xdr:colOff>
      <xdr:row>3</xdr:row>
      <xdr:rowOff>37800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990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228240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8377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</row>
    <row r="7" customFormat="false" ht="15" hidden="false" customHeight="false" outlineLevel="0" collapsed="false">
      <c r="A7" s="0" t="s">
        <v>20</v>
      </c>
      <c r="C7" s="0" t="s">
        <v>21</v>
      </c>
    </row>
    <row r="8" customFormat="false" ht="15" hidden="false" customHeight="false" outlineLevel="0" collapsed="false">
      <c r="A8" s="0" t="s">
        <v>22</v>
      </c>
    </row>
    <row r="9" customFormat="false" ht="15" hidden="false" customHeight="false" outlineLevel="0" collapsed="false">
      <c r="A9" s="0" t="s">
        <v>23</v>
      </c>
    </row>
    <row r="10" customFormat="false" ht="15" hidden="false" customHeight="false" outlineLevel="0" collapsed="false">
      <c r="A10" s="0" t="s">
        <v>24</v>
      </c>
    </row>
    <row r="11" customFormat="false" ht="15" hidden="false" customHeight="false" outlineLevel="0" collapsed="false">
      <c r="A11" s="0" t="s">
        <v>25</v>
      </c>
    </row>
    <row r="12" customFormat="false" ht="15" hidden="false" customHeight="false" outlineLevel="0" collapsed="false">
      <c r="A12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6"/>
  </cols>
  <sheetData>
    <row r="1" customFormat="false" ht="24" hidden="false" customHeight="true" outlineLevel="0" collapsed="false">
      <c r="C1" s="1" t="s">
        <v>27</v>
      </c>
      <c r="D1" s="1"/>
      <c r="E1" s="1"/>
      <c r="F1" s="1"/>
      <c r="G1" s="1"/>
      <c r="H1" s="1"/>
    </row>
    <row r="2" customFormat="false" ht="15.75" hidden="false" customHeight="true" outlineLevel="0" collapsed="false">
      <c r="C2" s="2" t="s">
        <v>28</v>
      </c>
      <c r="D2" s="2"/>
      <c r="E2" s="2"/>
      <c r="F2" s="2"/>
      <c r="G2" s="2"/>
      <c r="H2" s="2"/>
    </row>
    <row r="4" customFormat="false" ht="15" hidden="false" customHeight="false" outlineLevel="0" collapsed="false">
      <c r="C4" s="3" t="s">
        <v>29</v>
      </c>
      <c r="D4" s="4" t="n">
        <v>78000</v>
      </c>
      <c r="E4" s="5" t="n">
        <f aca="false">COUNTIF(D7:D36,"Sim")</f>
        <v>26</v>
      </c>
      <c r="F4" s="6" t="s">
        <v>30</v>
      </c>
    </row>
    <row r="6" customFormat="false" ht="15" hidden="false" customHeight="false" outlineLevel="0" collapsed="false">
      <c r="C6" s="7" t="s">
        <v>31</v>
      </c>
      <c r="D6" s="7" t="s">
        <v>32</v>
      </c>
      <c r="E6" s="7" t="s">
        <v>33</v>
      </c>
    </row>
    <row r="7" customFormat="false" ht="15" hidden="false" customHeight="false" outlineLevel="0" collapsed="false">
      <c r="C7" s="8" t="n">
        <v>46266</v>
      </c>
      <c r="D7" s="9" t="s">
        <v>3</v>
      </c>
      <c r="E7" s="10" t="n">
        <f aca="false">IF($D7="Sim",IFERROR($D$4/$E$4,0),0)</f>
        <v>3000</v>
      </c>
    </row>
    <row r="8" customFormat="false" ht="15" hidden="false" customHeight="false" outlineLevel="0" collapsed="false">
      <c r="C8" s="8" t="n">
        <v>46267</v>
      </c>
      <c r="D8" s="9" t="s">
        <v>3</v>
      </c>
      <c r="E8" s="10" t="n">
        <f aca="false">IF($D8="Sim",IFERROR($D$4/$E$4,0),0)</f>
        <v>3000</v>
      </c>
    </row>
    <row r="9" customFormat="false" ht="15" hidden="false" customHeight="false" outlineLevel="0" collapsed="false">
      <c r="C9" s="8" t="n">
        <v>46268</v>
      </c>
      <c r="D9" s="9" t="s">
        <v>3</v>
      </c>
      <c r="E9" s="10" t="n">
        <f aca="false">IF($D9="Sim",IFERROR($D$4/$E$4,0),0)</f>
        <v>3000</v>
      </c>
    </row>
    <row r="10" customFormat="false" ht="15" hidden="false" customHeight="false" outlineLevel="0" collapsed="false">
      <c r="C10" s="8" t="n">
        <v>46269</v>
      </c>
      <c r="D10" s="9" t="s">
        <v>3</v>
      </c>
      <c r="E10" s="10" t="n">
        <f aca="false">IF($D10="Sim",IFERROR($D$4/$E$4,0),0)</f>
        <v>3000</v>
      </c>
    </row>
    <row r="11" customFormat="false" ht="15" hidden="false" customHeight="false" outlineLevel="0" collapsed="false">
      <c r="C11" s="8" t="n">
        <v>46270</v>
      </c>
      <c r="D11" s="9" t="s">
        <v>3</v>
      </c>
      <c r="E11" s="10" t="n">
        <f aca="false">IF($D11="Sim",IFERROR($D$4/$E$4,0),0)</f>
        <v>3000</v>
      </c>
    </row>
    <row r="12" customFormat="false" ht="15" hidden="false" customHeight="false" outlineLevel="0" collapsed="false">
      <c r="C12" s="11" t="n">
        <v>46271</v>
      </c>
      <c r="D12" s="12" t="s">
        <v>7</v>
      </c>
      <c r="E12" s="13" t="n">
        <f aca="false">IF($D12="Sim",IFERROR($D$4/$E$4,0),0)</f>
        <v>0</v>
      </c>
    </row>
    <row r="13" customFormat="false" ht="15" hidden="false" customHeight="false" outlineLevel="0" collapsed="false">
      <c r="C13" s="8" t="n">
        <v>46272</v>
      </c>
      <c r="D13" s="9" t="s">
        <v>3</v>
      </c>
      <c r="E13" s="10" t="n">
        <f aca="false">IF($D13="Sim",IFERROR($D$4/$E$4,0),0)</f>
        <v>3000</v>
      </c>
    </row>
    <row r="14" customFormat="false" ht="15" hidden="false" customHeight="false" outlineLevel="0" collapsed="false">
      <c r="C14" s="8" t="n">
        <v>46273</v>
      </c>
      <c r="D14" s="9" t="s">
        <v>3</v>
      </c>
      <c r="E14" s="10" t="n">
        <f aca="false">IF($D14="Sim",IFERROR($D$4/$E$4,0),0)</f>
        <v>3000</v>
      </c>
    </row>
    <row r="15" customFormat="false" ht="15" hidden="false" customHeight="false" outlineLevel="0" collapsed="false">
      <c r="C15" s="8" t="n">
        <v>46274</v>
      </c>
      <c r="D15" s="9" t="s">
        <v>3</v>
      </c>
      <c r="E15" s="10" t="n">
        <f aca="false">IF($D15="Sim",IFERROR($D$4/$E$4,0),0)</f>
        <v>3000</v>
      </c>
    </row>
    <row r="16" customFormat="false" ht="15" hidden="false" customHeight="false" outlineLevel="0" collapsed="false">
      <c r="C16" s="8" t="n">
        <v>46275</v>
      </c>
      <c r="D16" s="9" t="s">
        <v>3</v>
      </c>
      <c r="E16" s="10" t="n">
        <f aca="false">IF($D16="Sim",IFERROR($D$4/$E$4,0),0)</f>
        <v>3000</v>
      </c>
    </row>
    <row r="17" customFormat="false" ht="15" hidden="false" customHeight="false" outlineLevel="0" collapsed="false">
      <c r="C17" s="8" t="n">
        <v>46276</v>
      </c>
      <c r="D17" s="9" t="s">
        <v>3</v>
      </c>
      <c r="E17" s="10" t="n">
        <f aca="false">IF($D17="Sim",IFERROR($D$4/$E$4,0),0)</f>
        <v>3000</v>
      </c>
    </row>
    <row r="18" customFormat="false" ht="15" hidden="false" customHeight="false" outlineLevel="0" collapsed="false">
      <c r="C18" s="8" t="n">
        <v>46277</v>
      </c>
      <c r="D18" s="9" t="s">
        <v>3</v>
      </c>
      <c r="E18" s="10" t="n">
        <f aca="false">IF($D18="Sim",IFERROR($D$4/$E$4,0),0)</f>
        <v>3000</v>
      </c>
    </row>
    <row r="19" customFormat="false" ht="15" hidden="false" customHeight="false" outlineLevel="0" collapsed="false">
      <c r="C19" s="11" t="n">
        <v>46278</v>
      </c>
      <c r="D19" s="12" t="s">
        <v>7</v>
      </c>
      <c r="E19" s="13" t="n">
        <f aca="false">IF($D19="Sim",IFERROR($D$4/$E$4,0),0)</f>
        <v>0</v>
      </c>
    </row>
    <row r="20" customFormat="false" ht="15" hidden="false" customHeight="false" outlineLevel="0" collapsed="false">
      <c r="C20" s="8" t="n">
        <v>46279</v>
      </c>
      <c r="D20" s="9" t="s">
        <v>3</v>
      </c>
      <c r="E20" s="10" t="n">
        <f aca="false">IF($D20="Sim",IFERROR($D$4/$E$4,0),0)</f>
        <v>3000</v>
      </c>
    </row>
    <row r="21" customFormat="false" ht="15" hidden="false" customHeight="false" outlineLevel="0" collapsed="false">
      <c r="C21" s="8" t="n">
        <v>46280</v>
      </c>
      <c r="D21" s="9" t="s">
        <v>3</v>
      </c>
      <c r="E21" s="10" t="n">
        <f aca="false">IF($D21="Sim",IFERROR($D$4/$E$4,0),0)</f>
        <v>3000</v>
      </c>
    </row>
    <row r="22" customFormat="false" ht="15" hidden="false" customHeight="false" outlineLevel="0" collapsed="false">
      <c r="C22" s="8" t="n">
        <v>46281</v>
      </c>
      <c r="D22" s="9" t="s">
        <v>3</v>
      </c>
      <c r="E22" s="10" t="n">
        <f aca="false">IF($D22="Sim",IFERROR($D$4/$E$4,0),0)</f>
        <v>3000</v>
      </c>
    </row>
    <row r="23" customFormat="false" ht="15" hidden="false" customHeight="false" outlineLevel="0" collapsed="false">
      <c r="C23" s="8" t="n">
        <v>46282</v>
      </c>
      <c r="D23" s="9" t="s">
        <v>3</v>
      </c>
      <c r="E23" s="10" t="n">
        <f aca="false">IF($D23="Sim",IFERROR($D$4/$E$4,0),0)</f>
        <v>3000</v>
      </c>
    </row>
    <row r="24" customFormat="false" ht="15" hidden="false" customHeight="false" outlineLevel="0" collapsed="false">
      <c r="C24" s="8" t="n">
        <v>46283</v>
      </c>
      <c r="D24" s="9" t="s">
        <v>3</v>
      </c>
      <c r="E24" s="10" t="n">
        <f aca="false">IF($D24="Sim",IFERROR($D$4/$E$4,0),0)</f>
        <v>3000</v>
      </c>
    </row>
    <row r="25" customFormat="false" ht="15" hidden="false" customHeight="false" outlineLevel="0" collapsed="false">
      <c r="C25" s="8" t="n">
        <v>46284</v>
      </c>
      <c r="D25" s="9" t="s">
        <v>3</v>
      </c>
      <c r="E25" s="10" t="n">
        <f aca="false">IF($D25="Sim",IFERROR($D$4/$E$4,0),0)</f>
        <v>3000</v>
      </c>
    </row>
    <row r="26" customFormat="false" ht="15" hidden="false" customHeight="false" outlineLevel="0" collapsed="false">
      <c r="C26" s="11" t="n">
        <v>46285</v>
      </c>
      <c r="D26" s="12" t="s">
        <v>7</v>
      </c>
      <c r="E26" s="13" t="n">
        <f aca="false">IF($D26="Sim",IFERROR($D$4/$E$4,0),0)</f>
        <v>0</v>
      </c>
    </row>
    <row r="27" customFormat="false" ht="15" hidden="false" customHeight="false" outlineLevel="0" collapsed="false">
      <c r="C27" s="8" t="n">
        <v>46286</v>
      </c>
      <c r="D27" s="9" t="s">
        <v>3</v>
      </c>
      <c r="E27" s="10" t="n">
        <f aca="false">IF($D27="Sim",IFERROR($D$4/$E$4,0),0)</f>
        <v>3000</v>
      </c>
    </row>
    <row r="28" customFormat="false" ht="15" hidden="false" customHeight="false" outlineLevel="0" collapsed="false">
      <c r="C28" s="8" t="n">
        <v>46287</v>
      </c>
      <c r="D28" s="9" t="s">
        <v>3</v>
      </c>
      <c r="E28" s="10" t="n">
        <f aca="false">IF($D28="Sim",IFERROR($D$4/$E$4,0),0)</f>
        <v>3000</v>
      </c>
    </row>
    <row r="29" customFormat="false" ht="15" hidden="false" customHeight="false" outlineLevel="0" collapsed="false">
      <c r="C29" s="8" t="n">
        <v>46288</v>
      </c>
      <c r="D29" s="9" t="s">
        <v>3</v>
      </c>
      <c r="E29" s="10" t="n">
        <f aca="false">IF($D29="Sim",IFERROR($D$4/$E$4,0),0)</f>
        <v>3000</v>
      </c>
    </row>
    <row r="30" customFormat="false" ht="15" hidden="false" customHeight="false" outlineLevel="0" collapsed="false">
      <c r="C30" s="8" t="n">
        <v>46289</v>
      </c>
      <c r="D30" s="9" t="s">
        <v>3</v>
      </c>
      <c r="E30" s="10" t="n">
        <f aca="false">IF($D30="Sim",IFERROR($D$4/$E$4,0),0)</f>
        <v>3000</v>
      </c>
    </row>
    <row r="31" customFormat="false" ht="15" hidden="false" customHeight="false" outlineLevel="0" collapsed="false">
      <c r="C31" s="8" t="n">
        <v>46290</v>
      </c>
      <c r="D31" s="9" t="s">
        <v>3</v>
      </c>
      <c r="E31" s="10" t="n">
        <f aca="false">IF($D31="Sim",IFERROR($D$4/$E$4,0),0)</f>
        <v>3000</v>
      </c>
    </row>
    <row r="32" customFormat="false" ht="15" hidden="false" customHeight="false" outlineLevel="0" collapsed="false">
      <c r="C32" s="8" t="n">
        <v>46291</v>
      </c>
      <c r="D32" s="9" t="s">
        <v>3</v>
      </c>
      <c r="E32" s="10" t="n">
        <f aca="false">IF($D32="Sim",IFERROR($D$4/$E$4,0),0)</f>
        <v>3000</v>
      </c>
    </row>
    <row r="33" customFormat="false" ht="15" hidden="false" customHeight="false" outlineLevel="0" collapsed="false">
      <c r="C33" s="11" t="n">
        <v>46292</v>
      </c>
      <c r="D33" s="12" t="s">
        <v>7</v>
      </c>
      <c r="E33" s="13" t="n">
        <f aca="false">IF($D33="Sim",IFERROR($D$4/$E$4,0),0)</f>
        <v>0</v>
      </c>
    </row>
    <row r="34" customFormat="false" ht="15" hidden="false" customHeight="false" outlineLevel="0" collapsed="false">
      <c r="C34" s="8" t="n">
        <v>46293</v>
      </c>
      <c r="D34" s="9" t="s">
        <v>3</v>
      </c>
      <c r="E34" s="10" t="n">
        <f aca="false">IF($D34="Sim",IFERROR($D$4/$E$4,0),0)</f>
        <v>3000</v>
      </c>
    </row>
    <row r="35" customFormat="false" ht="15" hidden="false" customHeight="false" outlineLevel="0" collapsed="false">
      <c r="C35" s="8" t="n">
        <v>46294</v>
      </c>
      <c r="D35" s="9" t="s">
        <v>3</v>
      </c>
      <c r="E35" s="10" t="n">
        <f aca="false">IF($D35="Sim",IFERROR($D$4/$E$4,0),0)</f>
        <v>3000</v>
      </c>
    </row>
    <row r="36" customFormat="false" ht="15" hidden="false" customHeight="false" outlineLevel="0" collapsed="false">
      <c r="C36" s="8" t="n">
        <v>46295</v>
      </c>
      <c r="D36" s="9" t="s">
        <v>3</v>
      </c>
      <c r="E36" s="10" t="n">
        <f aca="false">IF($D36="Sim",IFERROR($D$4/$E$4,0),0)</f>
        <v>3000</v>
      </c>
    </row>
  </sheetData>
  <mergeCells count="2">
    <mergeCell ref="C1:H1"/>
    <mergeCell ref="C2:H2"/>
  </mergeCells>
  <dataValidations count="1">
    <dataValidation allowBlank="false" errorStyle="stop" operator="between" showDropDown="false" showErrorMessage="false" showInputMessage="false" sqref="D7:D36" type="list">
      <formula1>Listas!$D$1:$D$2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4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21"/>
    <col collapsed="false" customWidth="true" hidden="false" outlineLevel="0" max="6" min="6" style="0" width="15"/>
    <col collapsed="false" customWidth="true" hidden="false" outlineLevel="0" max="7" min="7" style="0" width="28"/>
    <col collapsed="false" customWidth="true" hidden="false" outlineLevel="0" max="8" min="8" style="0" width="2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24" hidden="false" customHeight="true" outlineLevel="0" collapsed="false">
      <c r="C1" s="1" t="s">
        <v>34</v>
      </c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C2" s="2" t="s">
        <v>35</v>
      </c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C4" s="3" t="s">
        <v>36</v>
      </c>
      <c r="D4" s="14" t="n">
        <f aca="false">SUM($F$8:$F$407)</f>
        <v>0</v>
      </c>
      <c r="E4" s="3" t="s">
        <v>29</v>
      </c>
      <c r="F4" s="14" t="n">
        <f aca="false">Calendário!$D$4</f>
        <v>78000</v>
      </c>
      <c r="G4" s="3" t="s">
        <v>37</v>
      </c>
      <c r="H4" s="15" t="n">
        <f aca="false">IFERROR($D$4/$F$4,0)</f>
        <v>0</v>
      </c>
      <c r="I4" s="3" t="s">
        <v>38</v>
      </c>
      <c r="J4" s="14" t="n">
        <f aca="true">IFERROR($D$4/MAX(1,COUNTIFS(Calendário!$D$7:$D$37,"Sim",Calendário!$C$7:$C$37,"&lt;="&amp;TODAY()))*Calendário!$E$4,0)</f>
        <v>0</v>
      </c>
    </row>
    <row r="7" customFormat="false" ht="21.75" hidden="false" customHeight="true" outlineLevel="0" collapsed="false">
      <c r="C7" s="16" t="s">
        <v>31</v>
      </c>
      <c r="D7" s="16" t="s">
        <v>39</v>
      </c>
      <c r="E7" s="16" t="s">
        <v>40</v>
      </c>
      <c r="F7" s="16" t="s">
        <v>41</v>
      </c>
      <c r="G7" s="16" t="s">
        <v>42</v>
      </c>
    </row>
    <row r="8" customFormat="false" ht="15" hidden="false" customHeight="false" outlineLevel="0" collapsed="false">
      <c r="C8" s="17"/>
      <c r="D8" s="18"/>
      <c r="E8" s="18"/>
      <c r="F8" s="19"/>
      <c r="G8" s="18"/>
    </row>
    <row r="9" customFormat="false" ht="15" hidden="false" customHeight="false" outlineLevel="0" collapsed="false">
      <c r="C9" s="17"/>
      <c r="D9" s="18"/>
      <c r="E9" s="18"/>
      <c r="F9" s="19"/>
      <c r="G9" s="18"/>
    </row>
    <row r="10" customFormat="false" ht="15" hidden="false" customHeight="false" outlineLevel="0" collapsed="false">
      <c r="C10" s="17"/>
      <c r="D10" s="18"/>
      <c r="E10" s="18"/>
      <c r="F10" s="19"/>
      <c r="G10" s="18"/>
    </row>
    <row r="11" customFormat="false" ht="15" hidden="false" customHeight="false" outlineLevel="0" collapsed="false">
      <c r="C11" s="17"/>
      <c r="D11" s="18"/>
      <c r="E11" s="18"/>
      <c r="F11" s="19"/>
      <c r="G11" s="18"/>
    </row>
    <row r="12" customFormat="false" ht="15" hidden="false" customHeight="false" outlineLevel="0" collapsed="false">
      <c r="C12" s="17"/>
      <c r="D12" s="18"/>
      <c r="E12" s="18"/>
      <c r="F12" s="19"/>
      <c r="G12" s="18"/>
    </row>
    <row r="13" customFormat="false" ht="15" hidden="false" customHeight="false" outlineLevel="0" collapsed="false">
      <c r="C13" s="17"/>
      <c r="D13" s="18"/>
      <c r="E13" s="18"/>
      <c r="F13" s="19"/>
      <c r="G13" s="18"/>
    </row>
    <row r="14" customFormat="false" ht="15" hidden="false" customHeight="false" outlineLevel="0" collapsed="false">
      <c r="C14" s="17"/>
      <c r="D14" s="18"/>
      <c r="E14" s="18"/>
      <c r="F14" s="19"/>
      <c r="G14" s="18"/>
    </row>
    <row r="15" customFormat="false" ht="15" hidden="false" customHeight="false" outlineLevel="0" collapsed="false">
      <c r="C15" s="17"/>
      <c r="D15" s="18"/>
      <c r="E15" s="18"/>
      <c r="F15" s="19"/>
      <c r="G15" s="18"/>
    </row>
    <row r="16" customFormat="false" ht="15" hidden="false" customHeight="false" outlineLevel="0" collapsed="false">
      <c r="C16" s="17"/>
      <c r="D16" s="18"/>
      <c r="E16" s="18"/>
      <c r="F16" s="19"/>
      <c r="G16" s="18"/>
    </row>
    <row r="17" customFormat="false" ht="15" hidden="false" customHeight="false" outlineLevel="0" collapsed="false">
      <c r="C17" s="17"/>
      <c r="D17" s="18"/>
      <c r="E17" s="18"/>
      <c r="F17" s="19"/>
      <c r="G17" s="18"/>
    </row>
    <row r="18" customFormat="false" ht="15" hidden="false" customHeight="false" outlineLevel="0" collapsed="false">
      <c r="C18" s="17"/>
      <c r="D18" s="18"/>
      <c r="E18" s="18"/>
      <c r="F18" s="19"/>
      <c r="G18" s="18"/>
    </row>
    <row r="19" customFormat="false" ht="15" hidden="false" customHeight="false" outlineLevel="0" collapsed="false">
      <c r="C19" s="17"/>
      <c r="D19" s="18"/>
      <c r="E19" s="18"/>
      <c r="F19" s="19"/>
      <c r="G19" s="18"/>
    </row>
    <row r="20" customFormat="false" ht="15" hidden="false" customHeight="false" outlineLevel="0" collapsed="false">
      <c r="C20" s="17"/>
      <c r="D20" s="18"/>
      <c r="E20" s="18"/>
      <c r="F20" s="19"/>
      <c r="G20" s="18"/>
    </row>
    <row r="21" customFormat="false" ht="15" hidden="false" customHeight="false" outlineLevel="0" collapsed="false">
      <c r="C21" s="17"/>
      <c r="D21" s="18"/>
      <c r="E21" s="18"/>
      <c r="F21" s="19"/>
      <c r="G21" s="18"/>
    </row>
    <row r="22" customFormat="false" ht="15" hidden="false" customHeight="false" outlineLevel="0" collapsed="false">
      <c r="C22" s="17"/>
      <c r="D22" s="18"/>
      <c r="E22" s="18"/>
      <c r="F22" s="19"/>
      <c r="G22" s="18"/>
    </row>
    <row r="23" customFormat="false" ht="15" hidden="false" customHeight="false" outlineLevel="0" collapsed="false">
      <c r="C23" s="17"/>
      <c r="D23" s="18"/>
      <c r="E23" s="18"/>
      <c r="F23" s="19"/>
      <c r="G23" s="18"/>
    </row>
    <row r="24" customFormat="false" ht="15" hidden="false" customHeight="false" outlineLevel="0" collapsed="false">
      <c r="C24" s="17"/>
      <c r="D24" s="18"/>
      <c r="E24" s="18"/>
      <c r="F24" s="19"/>
      <c r="G24" s="18"/>
    </row>
    <row r="25" customFormat="false" ht="15" hidden="false" customHeight="false" outlineLevel="0" collapsed="false">
      <c r="C25" s="17"/>
      <c r="D25" s="18"/>
      <c r="E25" s="18"/>
      <c r="F25" s="19"/>
      <c r="G25" s="18"/>
    </row>
    <row r="26" customFormat="false" ht="15" hidden="false" customHeight="false" outlineLevel="0" collapsed="false">
      <c r="C26" s="17"/>
      <c r="D26" s="18"/>
      <c r="E26" s="18"/>
      <c r="F26" s="19"/>
      <c r="G26" s="18"/>
    </row>
    <row r="27" customFormat="false" ht="15" hidden="false" customHeight="false" outlineLevel="0" collapsed="false">
      <c r="C27" s="17"/>
      <c r="D27" s="18"/>
      <c r="E27" s="18"/>
      <c r="F27" s="19"/>
      <c r="G27" s="18"/>
    </row>
    <row r="28" customFormat="false" ht="15" hidden="false" customHeight="false" outlineLevel="0" collapsed="false">
      <c r="C28" s="17"/>
      <c r="D28" s="18"/>
      <c r="E28" s="18"/>
      <c r="F28" s="19"/>
      <c r="G28" s="18"/>
    </row>
    <row r="29" customFormat="false" ht="15" hidden="false" customHeight="false" outlineLevel="0" collapsed="false">
      <c r="C29" s="17"/>
      <c r="D29" s="18"/>
      <c r="E29" s="18"/>
      <c r="F29" s="19"/>
      <c r="G29" s="18"/>
    </row>
    <row r="30" customFormat="false" ht="15" hidden="false" customHeight="false" outlineLevel="0" collapsed="false">
      <c r="C30" s="17"/>
      <c r="D30" s="18"/>
      <c r="E30" s="18"/>
      <c r="F30" s="19"/>
      <c r="G30" s="18"/>
    </row>
    <row r="31" customFormat="false" ht="15" hidden="false" customHeight="false" outlineLevel="0" collapsed="false">
      <c r="C31" s="17"/>
      <c r="D31" s="18"/>
      <c r="E31" s="18"/>
      <c r="F31" s="19"/>
      <c r="G31" s="18"/>
    </row>
    <row r="32" customFormat="false" ht="15" hidden="false" customHeight="false" outlineLevel="0" collapsed="false">
      <c r="C32" s="17"/>
      <c r="D32" s="18"/>
      <c r="E32" s="18"/>
      <c r="F32" s="19"/>
      <c r="G32" s="18"/>
    </row>
    <row r="33" customFormat="false" ht="15" hidden="false" customHeight="false" outlineLevel="0" collapsed="false">
      <c r="C33" s="17"/>
      <c r="D33" s="18"/>
      <c r="E33" s="18"/>
      <c r="F33" s="19"/>
      <c r="G33" s="18"/>
    </row>
    <row r="34" customFormat="false" ht="15" hidden="false" customHeight="false" outlineLevel="0" collapsed="false">
      <c r="C34" s="17"/>
      <c r="D34" s="18"/>
      <c r="E34" s="18"/>
      <c r="F34" s="19"/>
      <c r="G34" s="18"/>
    </row>
    <row r="35" customFormat="false" ht="15" hidden="false" customHeight="false" outlineLevel="0" collapsed="false">
      <c r="C35" s="17"/>
      <c r="D35" s="18"/>
      <c r="E35" s="18"/>
      <c r="F35" s="19"/>
      <c r="G35" s="18"/>
    </row>
    <row r="36" customFormat="false" ht="15" hidden="false" customHeight="false" outlineLevel="0" collapsed="false">
      <c r="C36" s="17"/>
      <c r="D36" s="18"/>
      <c r="E36" s="18"/>
      <c r="F36" s="19"/>
      <c r="G36" s="18"/>
    </row>
    <row r="37" customFormat="false" ht="15" hidden="false" customHeight="false" outlineLevel="0" collapsed="false">
      <c r="C37" s="17"/>
      <c r="D37" s="18"/>
      <c r="E37" s="18"/>
      <c r="F37" s="19"/>
      <c r="G37" s="18"/>
    </row>
    <row r="38" customFormat="false" ht="15" hidden="false" customHeight="false" outlineLevel="0" collapsed="false">
      <c r="C38" s="17"/>
      <c r="D38" s="18"/>
      <c r="E38" s="18"/>
      <c r="F38" s="19"/>
      <c r="G38" s="18"/>
    </row>
    <row r="39" customFormat="false" ht="15" hidden="false" customHeight="false" outlineLevel="0" collapsed="false">
      <c r="C39" s="17"/>
      <c r="D39" s="18"/>
      <c r="E39" s="18"/>
      <c r="F39" s="19"/>
      <c r="G39" s="18"/>
    </row>
    <row r="40" customFormat="false" ht="15" hidden="false" customHeight="false" outlineLevel="0" collapsed="false">
      <c r="C40" s="17"/>
      <c r="D40" s="18"/>
      <c r="E40" s="18"/>
      <c r="F40" s="19"/>
      <c r="G40" s="18"/>
    </row>
    <row r="41" customFormat="false" ht="15" hidden="false" customHeight="false" outlineLevel="0" collapsed="false">
      <c r="C41" s="17"/>
      <c r="D41" s="18"/>
      <c r="E41" s="18"/>
      <c r="F41" s="19"/>
      <c r="G41" s="18"/>
    </row>
    <row r="42" customFormat="false" ht="15" hidden="false" customHeight="false" outlineLevel="0" collapsed="false">
      <c r="C42" s="17"/>
      <c r="D42" s="18"/>
      <c r="E42" s="18"/>
      <c r="F42" s="19"/>
      <c r="G42" s="18"/>
    </row>
    <row r="43" customFormat="false" ht="15" hidden="false" customHeight="false" outlineLevel="0" collapsed="false">
      <c r="C43" s="17"/>
      <c r="D43" s="18"/>
      <c r="E43" s="18"/>
      <c r="F43" s="19"/>
      <c r="G43" s="18"/>
    </row>
    <row r="44" customFormat="false" ht="15" hidden="false" customHeight="false" outlineLevel="0" collapsed="false">
      <c r="C44" s="17"/>
      <c r="D44" s="18"/>
      <c r="E44" s="18"/>
      <c r="F44" s="19"/>
      <c r="G44" s="18"/>
    </row>
    <row r="45" customFormat="false" ht="15" hidden="false" customHeight="false" outlineLevel="0" collapsed="false">
      <c r="C45" s="17"/>
      <c r="D45" s="18"/>
      <c r="E45" s="18"/>
      <c r="F45" s="19"/>
      <c r="G45" s="18"/>
    </row>
    <row r="46" customFormat="false" ht="15" hidden="false" customHeight="false" outlineLevel="0" collapsed="false">
      <c r="C46" s="17"/>
      <c r="D46" s="18"/>
      <c r="E46" s="18"/>
      <c r="F46" s="19"/>
      <c r="G46" s="18"/>
    </row>
    <row r="47" customFormat="false" ht="15" hidden="false" customHeight="false" outlineLevel="0" collapsed="false">
      <c r="C47" s="17"/>
      <c r="D47" s="18"/>
      <c r="E47" s="18"/>
      <c r="F47" s="19"/>
      <c r="G47" s="18"/>
    </row>
    <row r="48" customFormat="false" ht="15" hidden="false" customHeight="false" outlineLevel="0" collapsed="false">
      <c r="C48" s="17"/>
      <c r="D48" s="18"/>
      <c r="E48" s="18"/>
      <c r="F48" s="19"/>
      <c r="G48" s="18"/>
    </row>
    <row r="49" customFormat="false" ht="15" hidden="false" customHeight="false" outlineLevel="0" collapsed="false">
      <c r="C49" s="17"/>
      <c r="D49" s="18"/>
      <c r="E49" s="18"/>
      <c r="F49" s="19"/>
      <c r="G49" s="18"/>
    </row>
    <row r="50" customFormat="false" ht="15" hidden="false" customHeight="false" outlineLevel="0" collapsed="false">
      <c r="C50" s="17"/>
      <c r="D50" s="18"/>
      <c r="E50" s="18"/>
      <c r="F50" s="19"/>
      <c r="G50" s="18"/>
    </row>
    <row r="51" customFormat="false" ht="15" hidden="false" customHeight="false" outlineLevel="0" collapsed="false">
      <c r="C51" s="17"/>
      <c r="D51" s="18"/>
      <c r="E51" s="18"/>
      <c r="F51" s="19"/>
      <c r="G51" s="18"/>
    </row>
    <row r="52" customFormat="false" ht="15" hidden="false" customHeight="false" outlineLevel="0" collapsed="false">
      <c r="C52" s="17"/>
      <c r="D52" s="18"/>
      <c r="E52" s="18"/>
      <c r="F52" s="19"/>
      <c r="G52" s="18"/>
    </row>
    <row r="53" customFormat="false" ht="15" hidden="false" customHeight="false" outlineLevel="0" collapsed="false">
      <c r="C53" s="17"/>
      <c r="D53" s="18"/>
      <c r="E53" s="18"/>
      <c r="F53" s="19"/>
      <c r="G53" s="18"/>
    </row>
    <row r="54" customFormat="false" ht="15" hidden="false" customHeight="false" outlineLevel="0" collapsed="false">
      <c r="C54" s="17"/>
      <c r="D54" s="18"/>
      <c r="E54" s="18"/>
      <c r="F54" s="19"/>
      <c r="G54" s="18"/>
    </row>
    <row r="55" customFormat="false" ht="15" hidden="false" customHeight="false" outlineLevel="0" collapsed="false">
      <c r="C55" s="17"/>
      <c r="D55" s="18"/>
      <c r="E55" s="18"/>
      <c r="F55" s="19"/>
      <c r="G55" s="18"/>
    </row>
    <row r="56" customFormat="false" ht="15" hidden="false" customHeight="false" outlineLevel="0" collapsed="false">
      <c r="C56" s="17"/>
      <c r="D56" s="18"/>
      <c r="E56" s="18"/>
      <c r="F56" s="19"/>
      <c r="G56" s="18"/>
    </row>
    <row r="57" customFormat="false" ht="15" hidden="false" customHeight="false" outlineLevel="0" collapsed="false">
      <c r="C57" s="17"/>
      <c r="D57" s="18"/>
      <c r="E57" s="18"/>
      <c r="F57" s="19"/>
      <c r="G57" s="18"/>
    </row>
    <row r="58" customFormat="false" ht="15" hidden="false" customHeight="false" outlineLevel="0" collapsed="false">
      <c r="C58" s="17"/>
      <c r="D58" s="18"/>
      <c r="E58" s="18"/>
      <c r="F58" s="19"/>
      <c r="G58" s="18"/>
    </row>
    <row r="59" customFormat="false" ht="15" hidden="false" customHeight="false" outlineLevel="0" collapsed="false">
      <c r="C59" s="17"/>
      <c r="D59" s="18"/>
      <c r="E59" s="18"/>
      <c r="F59" s="19"/>
      <c r="G59" s="18"/>
    </row>
    <row r="60" customFormat="false" ht="15" hidden="false" customHeight="false" outlineLevel="0" collapsed="false">
      <c r="C60" s="17"/>
      <c r="D60" s="18"/>
      <c r="E60" s="18"/>
      <c r="F60" s="19"/>
      <c r="G60" s="18"/>
    </row>
    <row r="61" customFormat="false" ht="15" hidden="false" customHeight="false" outlineLevel="0" collapsed="false">
      <c r="C61" s="17"/>
      <c r="D61" s="18"/>
      <c r="E61" s="18"/>
      <c r="F61" s="19"/>
      <c r="G61" s="18"/>
    </row>
    <row r="62" customFormat="false" ht="15" hidden="false" customHeight="false" outlineLevel="0" collapsed="false">
      <c r="C62" s="17"/>
      <c r="D62" s="18"/>
      <c r="E62" s="18"/>
      <c r="F62" s="19"/>
      <c r="G62" s="18"/>
    </row>
    <row r="63" customFormat="false" ht="15" hidden="false" customHeight="false" outlineLevel="0" collapsed="false">
      <c r="C63" s="17"/>
      <c r="D63" s="18"/>
      <c r="E63" s="18"/>
      <c r="F63" s="19"/>
      <c r="G63" s="18"/>
    </row>
    <row r="64" customFormat="false" ht="15" hidden="false" customHeight="false" outlineLevel="0" collapsed="false">
      <c r="C64" s="17"/>
      <c r="D64" s="18"/>
      <c r="E64" s="18"/>
      <c r="F64" s="19"/>
      <c r="G64" s="18"/>
    </row>
    <row r="65" customFormat="false" ht="15" hidden="false" customHeight="false" outlineLevel="0" collapsed="false">
      <c r="C65" s="17"/>
      <c r="D65" s="18"/>
      <c r="E65" s="18"/>
      <c r="F65" s="19"/>
      <c r="G65" s="18"/>
    </row>
    <row r="66" customFormat="false" ht="15" hidden="false" customHeight="false" outlineLevel="0" collapsed="false">
      <c r="C66" s="17"/>
      <c r="D66" s="18"/>
      <c r="E66" s="18"/>
      <c r="F66" s="19"/>
      <c r="G66" s="18"/>
    </row>
    <row r="67" customFormat="false" ht="15" hidden="false" customHeight="false" outlineLevel="0" collapsed="false">
      <c r="C67" s="17"/>
      <c r="D67" s="18"/>
      <c r="E67" s="18"/>
      <c r="F67" s="19"/>
      <c r="G67" s="18"/>
    </row>
    <row r="68" customFormat="false" ht="15" hidden="false" customHeight="false" outlineLevel="0" collapsed="false">
      <c r="C68" s="17"/>
      <c r="D68" s="18"/>
      <c r="E68" s="18"/>
      <c r="F68" s="19"/>
      <c r="G68" s="18"/>
    </row>
    <row r="69" customFormat="false" ht="15" hidden="false" customHeight="false" outlineLevel="0" collapsed="false">
      <c r="C69" s="17"/>
      <c r="D69" s="18"/>
      <c r="E69" s="18"/>
      <c r="F69" s="19"/>
      <c r="G69" s="18"/>
    </row>
    <row r="70" customFormat="false" ht="15" hidden="false" customHeight="false" outlineLevel="0" collapsed="false">
      <c r="C70" s="17"/>
      <c r="D70" s="18"/>
      <c r="E70" s="18"/>
      <c r="F70" s="19"/>
      <c r="G70" s="18"/>
    </row>
    <row r="71" customFormat="false" ht="15" hidden="false" customHeight="false" outlineLevel="0" collapsed="false">
      <c r="C71" s="17"/>
      <c r="D71" s="18"/>
      <c r="E71" s="18"/>
      <c r="F71" s="19"/>
      <c r="G71" s="18"/>
    </row>
    <row r="72" customFormat="false" ht="15" hidden="false" customHeight="false" outlineLevel="0" collapsed="false">
      <c r="C72" s="17"/>
      <c r="D72" s="18"/>
      <c r="E72" s="18"/>
      <c r="F72" s="19"/>
      <c r="G72" s="18"/>
    </row>
    <row r="73" customFormat="false" ht="15" hidden="false" customHeight="false" outlineLevel="0" collapsed="false">
      <c r="C73" s="17"/>
      <c r="D73" s="18"/>
      <c r="E73" s="18"/>
      <c r="F73" s="19"/>
      <c r="G73" s="18"/>
    </row>
    <row r="74" customFormat="false" ht="15" hidden="false" customHeight="false" outlineLevel="0" collapsed="false">
      <c r="C74" s="17"/>
      <c r="D74" s="18"/>
      <c r="E74" s="18"/>
      <c r="F74" s="19"/>
      <c r="G74" s="18"/>
    </row>
    <row r="75" customFormat="false" ht="15" hidden="false" customHeight="false" outlineLevel="0" collapsed="false">
      <c r="C75" s="17"/>
      <c r="D75" s="18"/>
      <c r="E75" s="18"/>
      <c r="F75" s="19"/>
      <c r="G75" s="18"/>
    </row>
    <row r="76" customFormat="false" ht="15" hidden="false" customHeight="false" outlineLevel="0" collapsed="false">
      <c r="C76" s="17"/>
      <c r="D76" s="18"/>
      <c r="E76" s="18"/>
      <c r="F76" s="19"/>
      <c r="G76" s="18"/>
    </row>
    <row r="77" customFormat="false" ht="15" hidden="false" customHeight="false" outlineLevel="0" collapsed="false">
      <c r="C77" s="17"/>
      <c r="D77" s="18"/>
      <c r="E77" s="18"/>
      <c r="F77" s="19"/>
      <c r="G77" s="18"/>
    </row>
    <row r="78" customFormat="false" ht="15" hidden="false" customHeight="false" outlineLevel="0" collapsed="false">
      <c r="C78" s="17"/>
      <c r="D78" s="18"/>
      <c r="E78" s="18"/>
      <c r="F78" s="19"/>
      <c r="G78" s="18"/>
    </row>
    <row r="79" customFormat="false" ht="15" hidden="false" customHeight="false" outlineLevel="0" collapsed="false">
      <c r="C79" s="17"/>
      <c r="D79" s="18"/>
      <c r="E79" s="18"/>
      <c r="F79" s="19"/>
      <c r="G79" s="18"/>
    </row>
    <row r="80" customFormat="false" ht="15" hidden="false" customHeight="false" outlineLevel="0" collapsed="false">
      <c r="C80" s="17"/>
      <c r="D80" s="18"/>
      <c r="E80" s="18"/>
      <c r="F80" s="19"/>
      <c r="G80" s="18"/>
    </row>
    <row r="81" customFormat="false" ht="15" hidden="false" customHeight="false" outlineLevel="0" collapsed="false">
      <c r="C81" s="17"/>
      <c r="D81" s="18"/>
      <c r="E81" s="18"/>
      <c r="F81" s="19"/>
      <c r="G81" s="18"/>
    </row>
    <row r="82" customFormat="false" ht="15" hidden="false" customHeight="false" outlineLevel="0" collapsed="false">
      <c r="C82" s="17"/>
      <c r="D82" s="18"/>
      <c r="E82" s="18"/>
      <c r="F82" s="19"/>
      <c r="G82" s="18"/>
    </row>
    <row r="83" customFormat="false" ht="15" hidden="false" customHeight="false" outlineLevel="0" collapsed="false">
      <c r="C83" s="17"/>
      <c r="D83" s="18"/>
      <c r="E83" s="18"/>
      <c r="F83" s="19"/>
      <c r="G83" s="18"/>
    </row>
    <row r="84" customFormat="false" ht="15" hidden="false" customHeight="false" outlineLevel="0" collapsed="false">
      <c r="C84" s="17"/>
      <c r="D84" s="18"/>
      <c r="E84" s="18"/>
      <c r="F84" s="19"/>
      <c r="G84" s="18"/>
    </row>
    <row r="85" customFormat="false" ht="15" hidden="false" customHeight="false" outlineLevel="0" collapsed="false">
      <c r="C85" s="17"/>
      <c r="D85" s="18"/>
      <c r="E85" s="18"/>
      <c r="F85" s="19"/>
      <c r="G85" s="18"/>
    </row>
    <row r="86" customFormat="false" ht="15" hidden="false" customHeight="false" outlineLevel="0" collapsed="false">
      <c r="C86" s="17"/>
      <c r="D86" s="18"/>
      <c r="E86" s="18"/>
      <c r="F86" s="19"/>
      <c r="G86" s="18"/>
    </row>
    <row r="87" customFormat="false" ht="15" hidden="false" customHeight="false" outlineLevel="0" collapsed="false">
      <c r="C87" s="17"/>
      <c r="D87" s="18"/>
      <c r="E87" s="18"/>
      <c r="F87" s="19"/>
      <c r="G87" s="18"/>
    </row>
    <row r="88" customFormat="false" ht="15" hidden="false" customHeight="false" outlineLevel="0" collapsed="false">
      <c r="C88" s="17"/>
      <c r="D88" s="18"/>
      <c r="E88" s="18"/>
      <c r="F88" s="19"/>
      <c r="G88" s="18"/>
    </row>
    <row r="89" customFormat="false" ht="15" hidden="false" customHeight="false" outlineLevel="0" collapsed="false">
      <c r="C89" s="17"/>
      <c r="D89" s="18"/>
      <c r="E89" s="18"/>
      <c r="F89" s="19"/>
      <c r="G89" s="18"/>
    </row>
    <row r="90" customFormat="false" ht="15" hidden="false" customHeight="false" outlineLevel="0" collapsed="false">
      <c r="C90" s="17"/>
      <c r="D90" s="18"/>
      <c r="E90" s="18"/>
      <c r="F90" s="19"/>
      <c r="G90" s="18"/>
    </row>
    <row r="91" customFormat="false" ht="15" hidden="false" customHeight="false" outlineLevel="0" collapsed="false">
      <c r="C91" s="17"/>
      <c r="D91" s="18"/>
      <c r="E91" s="18"/>
      <c r="F91" s="19"/>
      <c r="G91" s="18"/>
    </row>
    <row r="92" customFormat="false" ht="15" hidden="false" customHeight="false" outlineLevel="0" collapsed="false">
      <c r="C92" s="17"/>
      <c r="D92" s="18"/>
      <c r="E92" s="18"/>
      <c r="F92" s="19"/>
      <c r="G92" s="18"/>
    </row>
    <row r="93" customFormat="false" ht="15" hidden="false" customHeight="false" outlineLevel="0" collapsed="false">
      <c r="C93" s="17"/>
      <c r="D93" s="18"/>
      <c r="E93" s="18"/>
      <c r="F93" s="19"/>
      <c r="G93" s="18"/>
    </row>
    <row r="94" customFormat="false" ht="15" hidden="false" customHeight="false" outlineLevel="0" collapsed="false">
      <c r="C94" s="17"/>
      <c r="D94" s="18"/>
      <c r="E94" s="18"/>
      <c r="F94" s="19"/>
      <c r="G94" s="18"/>
    </row>
    <row r="95" customFormat="false" ht="15" hidden="false" customHeight="false" outlineLevel="0" collapsed="false">
      <c r="C95" s="17"/>
      <c r="D95" s="18"/>
      <c r="E95" s="18"/>
      <c r="F95" s="19"/>
      <c r="G95" s="18"/>
    </row>
    <row r="96" customFormat="false" ht="15" hidden="false" customHeight="false" outlineLevel="0" collapsed="false">
      <c r="C96" s="17"/>
      <c r="D96" s="18"/>
      <c r="E96" s="18"/>
      <c r="F96" s="19"/>
      <c r="G96" s="18"/>
    </row>
    <row r="97" customFormat="false" ht="15" hidden="false" customHeight="false" outlineLevel="0" collapsed="false">
      <c r="C97" s="17"/>
      <c r="D97" s="18"/>
      <c r="E97" s="18"/>
      <c r="F97" s="19"/>
      <c r="G97" s="18"/>
    </row>
    <row r="98" customFormat="false" ht="15" hidden="false" customHeight="false" outlineLevel="0" collapsed="false">
      <c r="C98" s="17"/>
      <c r="D98" s="18"/>
      <c r="E98" s="18"/>
      <c r="F98" s="19"/>
      <c r="G98" s="18"/>
    </row>
    <row r="99" customFormat="false" ht="15" hidden="false" customHeight="false" outlineLevel="0" collapsed="false">
      <c r="C99" s="17"/>
      <c r="D99" s="18"/>
      <c r="E99" s="18"/>
      <c r="F99" s="19"/>
      <c r="G99" s="18"/>
    </row>
    <row r="100" customFormat="false" ht="15" hidden="false" customHeight="false" outlineLevel="0" collapsed="false">
      <c r="C100" s="17"/>
      <c r="D100" s="18"/>
      <c r="E100" s="18"/>
      <c r="F100" s="19"/>
      <c r="G100" s="18"/>
    </row>
    <row r="101" customFormat="false" ht="15" hidden="false" customHeight="false" outlineLevel="0" collapsed="false">
      <c r="C101" s="17"/>
      <c r="D101" s="18"/>
      <c r="E101" s="18"/>
      <c r="F101" s="19"/>
      <c r="G101" s="18"/>
    </row>
    <row r="102" customFormat="false" ht="15" hidden="false" customHeight="false" outlineLevel="0" collapsed="false">
      <c r="C102" s="17"/>
      <c r="D102" s="18"/>
      <c r="E102" s="18"/>
      <c r="F102" s="19"/>
      <c r="G102" s="18"/>
    </row>
    <row r="103" customFormat="false" ht="15" hidden="false" customHeight="false" outlineLevel="0" collapsed="false">
      <c r="C103" s="17"/>
      <c r="D103" s="18"/>
      <c r="E103" s="18"/>
      <c r="F103" s="19"/>
      <c r="G103" s="18"/>
    </row>
    <row r="104" customFormat="false" ht="15" hidden="false" customHeight="false" outlineLevel="0" collapsed="false">
      <c r="C104" s="17"/>
      <c r="D104" s="18"/>
      <c r="E104" s="18"/>
      <c r="F104" s="19"/>
      <c r="G104" s="18"/>
    </row>
    <row r="105" customFormat="false" ht="15" hidden="false" customHeight="false" outlineLevel="0" collapsed="false">
      <c r="C105" s="17"/>
      <c r="D105" s="18"/>
      <c r="E105" s="18"/>
      <c r="F105" s="19"/>
      <c r="G105" s="18"/>
    </row>
    <row r="106" customFormat="false" ht="15" hidden="false" customHeight="false" outlineLevel="0" collapsed="false">
      <c r="C106" s="17"/>
      <c r="D106" s="18"/>
      <c r="E106" s="18"/>
      <c r="F106" s="19"/>
      <c r="G106" s="18"/>
    </row>
    <row r="107" customFormat="false" ht="15" hidden="false" customHeight="false" outlineLevel="0" collapsed="false">
      <c r="C107" s="17"/>
      <c r="D107" s="18"/>
      <c r="E107" s="18"/>
      <c r="F107" s="19"/>
      <c r="G107" s="18"/>
    </row>
    <row r="108" customFormat="false" ht="15" hidden="false" customHeight="false" outlineLevel="0" collapsed="false">
      <c r="C108" s="17"/>
      <c r="D108" s="18"/>
      <c r="E108" s="18"/>
      <c r="F108" s="19"/>
      <c r="G108" s="18"/>
    </row>
    <row r="109" customFormat="false" ht="15" hidden="false" customHeight="false" outlineLevel="0" collapsed="false">
      <c r="C109" s="17"/>
      <c r="D109" s="18"/>
      <c r="E109" s="18"/>
      <c r="F109" s="19"/>
      <c r="G109" s="18"/>
    </row>
    <row r="110" customFormat="false" ht="15" hidden="false" customHeight="false" outlineLevel="0" collapsed="false">
      <c r="C110" s="17"/>
      <c r="D110" s="18"/>
      <c r="E110" s="18"/>
      <c r="F110" s="19"/>
      <c r="G110" s="18"/>
    </row>
    <row r="111" customFormat="false" ht="15" hidden="false" customHeight="false" outlineLevel="0" collapsed="false">
      <c r="C111" s="17"/>
      <c r="D111" s="18"/>
      <c r="E111" s="18"/>
      <c r="F111" s="19"/>
      <c r="G111" s="18"/>
    </row>
    <row r="112" customFormat="false" ht="15" hidden="false" customHeight="false" outlineLevel="0" collapsed="false">
      <c r="C112" s="17"/>
      <c r="D112" s="18"/>
      <c r="E112" s="18"/>
      <c r="F112" s="19"/>
      <c r="G112" s="18"/>
    </row>
    <row r="113" customFormat="false" ht="15" hidden="false" customHeight="false" outlineLevel="0" collapsed="false">
      <c r="C113" s="17"/>
      <c r="D113" s="18"/>
      <c r="E113" s="18"/>
      <c r="F113" s="19"/>
      <c r="G113" s="18"/>
    </row>
    <row r="114" customFormat="false" ht="15" hidden="false" customHeight="false" outlineLevel="0" collapsed="false">
      <c r="C114" s="17"/>
      <c r="D114" s="18"/>
      <c r="E114" s="18"/>
      <c r="F114" s="19"/>
      <c r="G114" s="18"/>
    </row>
    <row r="115" customFormat="false" ht="15" hidden="false" customHeight="false" outlineLevel="0" collapsed="false">
      <c r="C115" s="17"/>
      <c r="D115" s="18"/>
      <c r="E115" s="18"/>
      <c r="F115" s="19"/>
      <c r="G115" s="18"/>
    </row>
    <row r="116" customFormat="false" ht="15" hidden="false" customHeight="false" outlineLevel="0" collapsed="false">
      <c r="C116" s="17"/>
      <c r="D116" s="18"/>
      <c r="E116" s="18"/>
      <c r="F116" s="19"/>
      <c r="G116" s="18"/>
    </row>
    <row r="117" customFormat="false" ht="15" hidden="false" customHeight="false" outlineLevel="0" collapsed="false">
      <c r="C117" s="17"/>
      <c r="D117" s="18"/>
      <c r="E117" s="18"/>
      <c r="F117" s="19"/>
      <c r="G117" s="18"/>
    </row>
    <row r="118" customFormat="false" ht="15" hidden="false" customHeight="false" outlineLevel="0" collapsed="false">
      <c r="C118" s="17"/>
      <c r="D118" s="18"/>
      <c r="E118" s="18"/>
      <c r="F118" s="19"/>
      <c r="G118" s="18"/>
    </row>
    <row r="119" customFormat="false" ht="15" hidden="false" customHeight="false" outlineLevel="0" collapsed="false">
      <c r="C119" s="17"/>
      <c r="D119" s="18"/>
      <c r="E119" s="18"/>
      <c r="F119" s="19"/>
      <c r="G119" s="18"/>
    </row>
    <row r="120" customFormat="false" ht="15" hidden="false" customHeight="false" outlineLevel="0" collapsed="false">
      <c r="C120" s="17"/>
      <c r="D120" s="18"/>
      <c r="E120" s="18"/>
      <c r="F120" s="19"/>
      <c r="G120" s="18"/>
    </row>
    <row r="121" customFormat="false" ht="15" hidden="false" customHeight="false" outlineLevel="0" collapsed="false">
      <c r="C121" s="17"/>
      <c r="D121" s="18"/>
      <c r="E121" s="18"/>
      <c r="F121" s="19"/>
      <c r="G121" s="18"/>
    </row>
    <row r="122" customFormat="false" ht="15" hidden="false" customHeight="false" outlineLevel="0" collapsed="false">
      <c r="C122" s="17"/>
      <c r="D122" s="18"/>
      <c r="E122" s="18"/>
      <c r="F122" s="19"/>
      <c r="G122" s="18"/>
    </row>
    <row r="123" customFormat="false" ht="15" hidden="false" customHeight="false" outlineLevel="0" collapsed="false">
      <c r="C123" s="17"/>
      <c r="D123" s="18"/>
      <c r="E123" s="18"/>
      <c r="F123" s="19"/>
      <c r="G123" s="18"/>
    </row>
    <row r="124" customFormat="false" ht="15" hidden="false" customHeight="false" outlineLevel="0" collapsed="false">
      <c r="C124" s="17"/>
      <c r="D124" s="18"/>
      <c r="E124" s="18"/>
      <c r="F124" s="19"/>
      <c r="G124" s="18"/>
    </row>
    <row r="125" customFormat="false" ht="15" hidden="false" customHeight="false" outlineLevel="0" collapsed="false">
      <c r="C125" s="17"/>
      <c r="D125" s="18"/>
      <c r="E125" s="18"/>
      <c r="F125" s="19"/>
      <c r="G125" s="18"/>
    </row>
    <row r="126" customFormat="false" ht="15" hidden="false" customHeight="false" outlineLevel="0" collapsed="false">
      <c r="C126" s="17"/>
      <c r="D126" s="18"/>
      <c r="E126" s="18"/>
      <c r="F126" s="19"/>
      <c r="G126" s="18"/>
    </row>
    <row r="127" customFormat="false" ht="15" hidden="false" customHeight="false" outlineLevel="0" collapsed="false">
      <c r="C127" s="17"/>
      <c r="D127" s="18"/>
      <c r="E127" s="18"/>
      <c r="F127" s="19"/>
      <c r="G127" s="18"/>
    </row>
    <row r="128" customFormat="false" ht="15" hidden="false" customHeight="false" outlineLevel="0" collapsed="false">
      <c r="C128" s="17"/>
      <c r="D128" s="18"/>
      <c r="E128" s="18"/>
      <c r="F128" s="19"/>
      <c r="G128" s="18"/>
    </row>
    <row r="129" customFormat="false" ht="15" hidden="false" customHeight="false" outlineLevel="0" collapsed="false">
      <c r="C129" s="17"/>
      <c r="D129" s="18"/>
      <c r="E129" s="18"/>
      <c r="F129" s="19"/>
      <c r="G129" s="18"/>
    </row>
    <row r="130" customFormat="false" ht="15" hidden="false" customHeight="false" outlineLevel="0" collapsed="false">
      <c r="C130" s="17"/>
      <c r="D130" s="18"/>
      <c r="E130" s="18"/>
      <c r="F130" s="19"/>
      <c r="G130" s="18"/>
    </row>
    <row r="131" customFormat="false" ht="15" hidden="false" customHeight="false" outlineLevel="0" collapsed="false">
      <c r="C131" s="17"/>
      <c r="D131" s="18"/>
      <c r="E131" s="18"/>
      <c r="F131" s="19"/>
      <c r="G131" s="18"/>
    </row>
    <row r="132" customFormat="false" ht="15" hidden="false" customHeight="false" outlineLevel="0" collapsed="false">
      <c r="C132" s="17"/>
      <c r="D132" s="18"/>
      <c r="E132" s="18"/>
      <c r="F132" s="19"/>
      <c r="G132" s="18"/>
    </row>
    <row r="133" customFormat="false" ht="15" hidden="false" customHeight="false" outlineLevel="0" collapsed="false">
      <c r="C133" s="17"/>
      <c r="D133" s="18"/>
      <c r="E133" s="18"/>
      <c r="F133" s="19"/>
      <c r="G133" s="18"/>
    </row>
    <row r="134" customFormat="false" ht="15" hidden="false" customHeight="false" outlineLevel="0" collapsed="false">
      <c r="C134" s="17"/>
      <c r="D134" s="18"/>
      <c r="E134" s="18"/>
      <c r="F134" s="19"/>
      <c r="G134" s="18"/>
    </row>
    <row r="135" customFormat="false" ht="15" hidden="false" customHeight="false" outlineLevel="0" collapsed="false">
      <c r="C135" s="17"/>
      <c r="D135" s="18"/>
      <c r="E135" s="18"/>
      <c r="F135" s="19"/>
      <c r="G135" s="18"/>
    </row>
    <row r="136" customFormat="false" ht="15" hidden="false" customHeight="false" outlineLevel="0" collapsed="false">
      <c r="C136" s="17"/>
      <c r="D136" s="18"/>
      <c r="E136" s="18"/>
      <c r="F136" s="19"/>
      <c r="G136" s="18"/>
    </row>
    <row r="137" customFormat="false" ht="15" hidden="false" customHeight="false" outlineLevel="0" collapsed="false">
      <c r="C137" s="17"/>
      <c r="D137" s="18"/>
      <c r="E137" s="18"/>
      <c r="F137" s="19"/>
      <c r="G137" s="18"/>
    </row>
    <row r="138" customFormat="false" ht="15" hidden="false" customHeight="false" outlineLevel="0" collapsed="false">
      <c r="C138" s="17"/>
      <c r="D138" s="18"/>
      <c r="E138" s="18"/>
      <c r="F138" s="19"/>
      <c r="G138" s="18"/>
    </row>
    <row r="139" customFormat="false" ht="15" hidden="false" customHeight="false" outlineLevel="0" collapsed="false">
      <c r="C139" s="17"/>
      <c r="D139" s="18"/>
      <c r="E139" s="18"/>
      <c r="F139" s="19"/>
      <c r="G139" s="18"/>
    </row>
    <row r="140" customFormat="false" ht="15" hidden="false" customHeight="false" outlineLevel="0" collapsed="false">
      <c r="C140" s="17"/>
      <c r="D140" s="18"/>
      <c r="E140" s="18"/>
      <c r="F140" s="19"/>
      <c r="G140" s="18"/>
    </row>
    <row r="141" customFormat="false" ht="15" hidden="false" customHeight="false" outlineLevel="0" collapsed="false">
      <c r="C141" s="17"/>
      <c r="D141" s="18"/>
      <c r="E141" s="18"/>
      <c r="F141" s="19"/>
      <c r="G141" s="18"/>
    </row>
    <row r="142" customFormat="false" ht="15" hidden="false" customHeight="false" outlineLevel="0" collapsed="false">
      <c r="C142" s="17"/>
      <c r="D142" s="18"/>
      <c r="E142" s="18"/>
      <c r="F142" s="19"/>
      <c r="G142" s="18"/>
    </row>
    <row r="143" customFormat="false" ht="15" hidden="false" customHeight="false" outlineLevel="0" collapsed="false">
      <c r="C143" s="17"/>
      <c r="D143" s="18"/>
      <c r="E143" s="18"/>
      <c r="F143" s="19"/>
      <c r="G143" s="18"/>
    </row>
    <row r="144" customFormat="false" ht="15" hidden="false" customHeight="false" outlineLevel="0" collapsed="false">
      <c r="C144" s="17"/>
      <c r="D144" s="18"/>
      <c r="E144" s="18"/>
      <c r="F144" s="19"/>
      <c r="G144" s="18"/>
    </row>
    <row r="145" customFormat="false" ht="15" hidden="false" customHeight="false" outlineLevel="0" collapsed="false">
      <c r="C145" s="17"/>
      <c r="D145" s="18"/>
      <c r="E145" s="18"/>
      <c r="F145" s="19"/>
      <c r="G145" s="18"/>
    </row>
    <row r="146" customFormat="false" ht="15" hidden="false" customHeight="false" outlineLevel="0" collapsed="false">
      <c r="C146" s="17"/>
      <c r="D146" s="18"/>
      <c r="E146" s="18"/>
      <c r="F146" s="19"/>
      <c r="G146" s="18"/>
    </row>
    <row r="147" customFormat="false" ht="15" hidden="false" customHeight="false" outlineLevel="0" collapsed="false">
      <c r="C147" s="17"/>
      <c r="D147" s="18"/>
      <c r="E147" s="18"/>
      <c r="F147" s="19"/>
      <c r="G147" s="18"/>
    </row>
    <row r="148" customFormat="false" ht="15" hidden="false" customHeight="false" outlineLevel="0" collapsed="false">
      <c r="C148" s="17"/>
      <c r="D148" s="18"/>
      <c r="E148" s="18"/>
      <c r="F148" s="19"/>
      <c r="G148" s="18"/>
    </row>
    <row r="149" customFormat="false" ht="15" hidden="false" customHeight="false" outlineLevel="0" collapsed="false">
      <c r="C149" s="17"/>
      <c r="D149" s="18"/>
      <c r="E149" s="18"/>
      <c r="F149" s="19"/>
      <c r="G149" s="18"/>
    </row>
    <row r="150" customFormat="false" ht="15" hidden="false" customHeight="false" outlineLevel="0" collapsed="false">
      <c r="C150" s="17"/>
      <c r="D150" s="18"/>
      <c r="E150" s="18"/>
      <c r="F150" s="19"/>
      <c r="G150" s="18"/>
    </row>
    <row r="151" customFormat="false" ht="15" hidden="false" customHeight="false" outlineLevel="0" collapsed="false">
      <c r="C151" s="17"/>
      <c r="D151" s="18"/>
      <c r="E151" s="18"/>
      <c r="F151" s="19"/>
      <c r="G151" s="18"/>
    </row>
    <row r="152" customFormat="false" ht="15" hidden="false" customHeight="false" outlineLevel="0" collapsed="false">
      <c r="C152" s="17"/>
      <c r="D152" s="18"/>
      <c r="E152" s="18"/>
      <c r="F152" s="19"/>
      <c r="G152" s="18"/>
    </row>
    <row r="153" customFormat="false" ht="15" hidden="false" customHeight="false" outlineLevel="0" collapsed="false">
      <c r="C153" s="17"/>
      <c r="D153" s="18"/>
      <c r="E153" s="18"/>
      <c r="F153" s="19"/>
      <c r="G153" s="18"/>
    </row>
    <row r="154" customFormat="false" ht="15" hidden="false" customHeight="false" outlineLevel="0" collapsed="false">
      <c r="C154" s="17"/>
      <c r="D154" s="18"/>
      <c r="E154" s="18"/>
      <c r="F154" s="19"/>
      <c r="G154" s="18"/>
    </row>
    <row r="155" customFormat="false" ht="15" hidden="false" customHeight="false" outlineLevel="0" collapsed="false">
      <c r="C155" s="17"/>
      <c r="D155" s="18"/>
      <c r="E155" s="18"/>
      <c r="F155" s="19"/>
      <c r="G155" s="18"/>
    </row>
    <row r="156" customFormat="false" ht="15" hidden="false" customHeight="false" outlineLevel="0" collapsed="false">
      <c r="C156" s="17"/>
      <c r="D156" s="18"/>
      <c r="E156" s="18"/>
      <c r="F156" s="19"/>
      <c r="G156" s="18"/>
    </row>
    <row r="157" customFormat="false" ht="15" hidden="false" customHeight="false" outlineLevel="0" collapsed="false">
      <c r="C157" s="17"/>
      <c r="D157" s="18"/>
      <c r="E157" s="18"/>
      <c r="F157" s="19"/>
      <c r="G157" s="18"/>
    </row>
    <row r="158" customFormat="false" ht="15" hidden="false" customHeight="false" outlineLevel="0" collapsed="false">
      <c r="C158" s="17"/>
      <c r="D158" s="18"/>
      <c r="E158" s="18"/>
      <c r="F158" s="19"/>
      <c r="G158" s="18"/>
    </row>
    <row r="159" customFormat="false" ht="15" hidden="false" customHeight="false" outlineLevel="0" collapsed="false">
      <c r="C159" s="17"/>
      <c r="D159" s="18"/>
      <c r="E159" s="18"/>
      <c r="F159" s="19"/>
      <c r="G159" s="18"/>
    </row>
    <row r="160" customFormat="false" ht="15" hidden="false" customHeight="false" outlineLevel="0" collapsed="false">
      <c r="C160" s="17"/>
      <c r="D160" s="18"/>
      <c r="E160" s="18"/>
      <c r="F160" s="19"/>
      <c r="G160" s="18"/>
    </row>
    <row r="161" customFormat="false" ht="15" hidden="false" customHeight="false" outlineLevel="0" collapsed="false">
      <c r="C161" s="17"/>
      <c r="D161" s="18"/>
      <c r="E161" s="18"/>
      <c r="F161" s="19"/>
      <c r="G161" s="18"/>
    </row>
    <row r="162" customFormat="false" ht="15" hidden="false" customHeight="false" outlineLevel="0" collapsed="false">
      <c r="C162" s="17"/>
      <c r="D162" s="18"/>
      <c r="E162" s="18"/>
      <c r="F162" s="19"/>
      <c r="G162" s="18"/>
    </row>
    <row r="163" customFormat="false" ht="15" hidden="false" customHeight="false" outlineLevel="0" collapsed="false">
      <c r="C163" s="17"/>
      <c r="D163" s="18"/>
      <c r="E163" s="18"/>
      <c r="F163" s="19"/>
      <c r="G163" s="18"/>
    </row>
    <row r="164" customFormat="false" ht="15" hidden="false" customHeight="false" outlineLevel="0" collapsed="false">
      <c r="C164" s="17"/>
      <c r="D164" s="18"/>
      <c r="E164" s="18"/>
      <c r="F164" s="19"/>
      <c r="G164" s="18"/>
    </row>
    <row r="165" customFormat="false" ht="15" hidden="false" customHeight="false" outlineLevel="0" collapsed="false">
      <c r="C165" s="17"/>
      <c r="D165" s="18"/>
      <c r="E165" s="18"/>
      <c r="F165" s="19"/>
      <c r="G165" s="18"/>
    </row>
    <row r="166" customFormat="false" ht="15" hidden="false" customHeight="false" outlineLevel="0" collapsed="false">
      <c r="C166" s="17"/>
      <c r="D166" s="18"/>
      <c r="E166" s="18"/>
      <c r="F166" s="19"/>
      <c r="G166" s="18"/>
    </row>
    <row r="167" customFormat="false" ht="15" hidden="false" customHeight="false" outlineLevel="0" collapsed="false">
      <c r="C167" s="17"/>
      <c r="D167" s="18"/>
      <c r="E167" s="18"/>
      <c r="F167" s="19"/>
      <c r="G167" s="18"/>
    </row>
    <row r="168" customFormat="false" ht="15" hidden="false" customHeight="false" outlineLevel="0" collapsed="false">
      <c r="C168" s="17"/>
      <c r="D168" s="18"/>
      <c r="E168" s="18"/>
      <c r="F168" s="19"/>
      <c r="G168" s="18"/>
    </row>
    <row r="169" customFormat="false" ht="15" hidden="false" customHeight="false" outlineLevel="0" collapsed="false">
      <c r="C169" s="17"/>
      <c r="D169" s="18"/>
      <c r="E169" s="18"/>
      <c r="F169" s="19"/>
      <c r="G169" s="18"/>
    </row>
    <row r="170" customFormat="false" ht="15" hidden="false" customHeight="false" outlineLevel="0" collapsed="false">
      <c r="C170" s="17"/>
      <c r="D170" s="18"/>
      <c r="E170" s="18"/>
      <c r="F170" s="19"/>
      <c r="G170" s="18"/>
    </row>
    <row r="171" customFormat="false" ht="15" hidden="false" customHeight="false" outlineLevel="0" collapsed="false">
      <c r="C171" s="17"/>
      <c r="D171" s="18"/>
      <c r="E171" s="18"/>
      <c r="F171" s="19"/>
      <c r="G171" s="18"/>
    </row>
    <row r="172" customFormat="false" ht="15" hidden="false" customHeight="false" outlineLevel="0" collapsed="false">
      <c r="C172" s="17"/>
      <c r="D172" s="18"/>
      <c r="E172" s="18"/>
      <c r="F172" s="19"/>
      <c r="G172" s="18"/>
    </row>
    <row r="173" customFormat="false" ht="15" hidden="false" customHeight="false" outlineLevel="0" collapsed="false">
      <c r="C173" s="17"/>
      <c r="D173" s="18"/>
      <c r="E173" s="18"/>
      <c r="F173" s="19"/>
      <c r="G173" s="18"/>
    </row>
    <row r="174" customFormat="false" ht="15" hidden="false" customHeight="false" outlineLevel="0" collapsed="false">
      <c r="C174" s="17"/>
      <c r="D174" s="18"/>
      <c r="E174" s="18"/>
      <c r="F174" s="19"/>
      <c r="G174" s="18"/>
    </row>
    <row r="175" customFormat="false" ht="15" hidden="false" customHeight="false" outlineLevel="0" collapsed="false">
      <c r="C175" s="17"/>
      <c r="D175" s="18"/>
      <c r="E175" s="18"/>
      <c r="F175" s="19"/>
      <c r="G175" s="18"/>
    </row>
    <row r="176" customFormat="false" ht="15" hidden="false" customHeight="false" outlineLevel="0" collapsed="false">
      <c r="C176" s="17"/>
      <c r="D176" s="18"/>
      <c r="E176" s="18"/>
      <c r="F176" s="19"/>
      <c r="G176" s="18"/>
    </row>
    <row r="177" customFormat="false" ht="15" hidden="false" customHeight="false" outlineLevel="0" collapsed="false">
      <c r="C177" s="17"/>
      <c r="D177" s="18"/>
      <c r="E177" s="18"/>
      <c r="F177" s="19"/>
      <c r="G177" s="18"/>
    </row>
    <row r="178" customFormat="false" ht="15" hidden="false" customHeight="false" outlineLevel="0" collapsed="false">
      <c r="C178" s="17"/>
      <c r="D178" s="18"/>
      <c r="E178" s="18"/>
      <c r="F178" s="19"/>
      <c r="G178" s="18"/>
    </row>
    <row r="179" customFormat="false" ht="15" hidden="false" customHeight="false" outlineLevel="0" collapsed="false">
      <c r="C179" s="17"/>
      <c r="D179" s="18"/>
      <c r="E179" s="18"/>
      <c r="F179" s="19"/>
      <c r="G179" s="18"/>
    </row>
    <row r="180" customFormat="false" ht="15" hidden="false" customHeight="false" outlineLevel="0" collapsed="false">
      <c r="C180" s="17"/>
      <c r="D180" s="18"/>
      <c r="E180" s="18"/>
      <c r="F180" s="19"/>
      <c r="G180" s="18"/>
    </row>
    <row r="181" customFormat="false" ht="15" hidden="false" customHeight="false" outlineLevel="0" collapsed="false">
      <c r="C181" s="17"/>
      <c r="D181" s="18"/>
      <c r="E181" s="18"/>
      <c r="F181" s="19"/>
      <c r="G181" s="18"/>
    </row>
    <row r="182" customFormat="false" ht="15" hidden="false" customHeight="false" outlineLevel="0" collapsed="false">
      <c r="C182" s="17"/>
      <c r="D182" s="18"/>
      <c r="E182" s="18"/>
      <c r="F182" s="19"/>
      <c r="G182" s="18"/>
    </row>
    <row r="183" customFormat="false" ht="15" hidden="false" customHeight="false" outlineLevel="0" collapsed="false">
      <c r="C183" s="17"/>
      <c r="D183" s="18"/>
      <c r="E183" s="18"/>
      <c r="F183" s="19"/>
      <c r="G183" s="18"/>
    </row>
    <row r="184" customFormat="false" ht="15" hidden="false" customHeight="false" outlineLevel="0" collapsed="false">
      <c r="C184" s="17"/>
      <c r="D184" s="18"/>
      <c r="E184" s="18"/>
      <c r="F184" s="19"/>
      <c r="G184" s="18"/>
    </row>
    <row r="185" customFormat="false" ht="15" hidden="false" customHeight="false" outlineLevel="0" collapsed="false">
      <c r="C185" s="17"/>
      <c r="D185" s="18"/>
      <c r="E185" s="18"/>
      <c r="F185" s="19"/>
      <c r="G185" s="18"/>
    </row>
    <row r="186" customFormat="false" ht="15" hidden="false" customHeight="false" outlineLevel="0" collapsed="false">
      <c r="C186" s="17"/>
      <c r="D186" s="18"/>
      <c r="E186" s="18"/>
      <c r="F186" s="19"/>
      <c r="G186" s="18"/>
    </row>
    <row r="187" customFormat="false" ht="15" hidden="false" customHeight="false" outlineLevel="0" collapsed="false">
      <c r="C187" s="17"/>
      <c r="D187" s="18"/>
      <c r="E187" s="18"/>
      <c r="F187" s="19"/>
      <c r="G187" s="18"/>
    </row>
    <row r="188" customFormat="false" ht="15" hidden="false" customHeight="false" outlineLevel="0" collapsed="false">
      <c r="C188" s="17"/>
      <c r="D188" s="18"/>
      <c r="E188" s="18"/>
      <c r="F188" s="19"/>
      <c r="G188" s="18"/>
    </row>
    <row r="189" customFormat="false" ht="15" hidden="false" customHeight="false" outlineLevel="0" collapsed="false">
      <c r="C189" s="17"/>
      <c r="D189" s="18"/>
      <c r="E189" s="18"/>
      <c r="F189" s="19"/>
      <c r="G189" s="18"/>
    </row>
    <row r="190" customFormat="false" ht="15" hidden="false" customHeight="false" outlineLevel="0" collapsed="false">
      <c r="C190" s="17"/>
      <c r="D190" s="18"/>
      <c r="E190" s="18"/>
      <c r="F190" s="19"/>
      <c r="G190" s="18"/>
    </row>
    <row r="191" customFormat="false" ht="15" hidden="false" customHeight="false" outlineLevel="0" collapsed="false">
      <c r="C191" s="17"/>
      <c r="D191" s="18"/>
      <c r="E191" s="18"/>
      <c r="F191" s="19"/>
      <c r="G191" s="18"/>
    </row>
    <row r="192" customFormat="false" ht="15" hidden="false" customHeight="false" outlineLevel="0" collapsed="false">
      <c r="C192" s="17"/>
      <c r="D192" s="18"/>
      <c r="E192" s="18"/>
      <c r="F192" s="19"/>
      <c r="G192" s="18"/>
    </row>
    <row r="193" customFormat="false" ht="15" hidden="false" customHeight="false" outlineLevel="0" collapsed="false">
      <c r="C193" s="17"/>
      <c r="D193" s="18"/>
      <c r="E193" s="18"/>
      <c r="F193" s="19"/>
      <c r="G193" s="18"/>
    </row>
    <row r="194" customFormat="false" ht="15" hidden="false" customHeight="false" outlineLevel="0" collapsed="false">
      <c r="C194" s="17"/>
      <c r="D194" s="18"/>
      <c r="E194" s="18"/>
      <c r="F194" s="19"/>
      <c r="G194" s="18"/>
    </row>
    <row r="195" customFormat="false" ht="15" hidden="false" customHeight="false" outlineLevel="0" collapsed="false">
      <c r="C195" s="17"/>
      <c r="D195" s="18"/>
      <c r="E195" s="18"/>
      <c r="F195" s="19"/>
      <c r="G195" s="18"/>
    </row>
    <row r="196" customFormat="false" ht="15" hidden="false" customHeight="false" outlineLevel="0" collapsed="false">
      <c r="C196" s="17"/>
      <c r="D196" s="18"/>
      <c r="E196" s="18"/>
      <c r="F196" s="19"/>
      <c r="G196" s="18"/>
    </row>
    <row r="197" customFormat="false" ht="15" hidden="false" customHeight="false" outlineLevel="0" collapsed="false">
      <c r="C197" s="17"/>
      <c r="D197" s="18"/>
      <c r="E197" s="18"/>
      <c r="F197" s="19"/>
      <c r="G197" s="18"/>
    </row>
    <row r="198" customFormat="false" ht="15" hidden="false" customHeight="false" outlineLevel="0" collapsed="false">
      <c r="C198" s="17"/>
      <c r="D198" s="18"/>
      <c r="E198" s="18"/>
      <c r="F198" s="19"/>
      <c r="G198" s="18"/>
    </row>
    <row r="199" customFormat="false" ht="15" hidden="false" customHeight="false" outlineLevel="0" collapsed="false">
      <c r="C199" s="17"/>
      <c r="D199" s="18"/>
      <c r="E199" s="18"/>
      <c r="F199" s="19"/>
      <c r="G199" s="18"/>
    </row>
    <row r="200" customFormat="false" ht="15" hidden="false" customHeight="false" outlineLevel="0" collapsed="false">
      <c r="C200" s="17"/>
      <c r="D200" s="18"/>
      <c r="E200" s="18"/>
      <c r="F200" s="19"/>
      <c r="G200" s="18"/>
    </row>
    <row r="201" customFormat="false" ht="15" hidden="false" customHeight="false" outlineLevel="0" collapsed="false">
      <c r="C201" s="17"/>
      <c r="D201" s="18"/>
      <c r="E201" s="18"/>
      <c r="F201" s="19"/>
      <c r="G201" s="18"/>
    </row>
    <row r="202" customFormat="false" ht="15" hidden="false" customHeight="false" outlineLevel="0" collapsed="false">
      <c r="C202" s="17"/>
      <c r="D202" s="18"/>
      <c r="E202" s="18"/>
      <c r="F202" s="19"/>
      <c r="G202" s="18"/>
    </row>
    <row r="203" customFormat="false" ht="15" hidden="false" customHeight="false" outlineLevel="0" collapsed="false">
      <c r="C203" s="17"/>
      <c r="D203" s="18"/>
      <c r="E203" s="18"/>
      <c r="F203" s="19"/>
      <c r="G203" s="18"/>
    </row>
    <row r="204" customFormat="false" ht="15" hidden="false" customHeight="false" outlineLevel="0" collapsed="false">
      <c r="C204" s="17"/>
      <c r="D204" s="18"/>
      <c r="E204" s="18"/>
      <c r="F204" s="19"/>
      <c r="G204" s="18"/>
    </row>
    <row r="205" customFormat="false" ht="15" hidden="false" customHeight="false" outlineLevel="0" collapsed="false">
      <c r="C205" s="17"/>
      <c r="D205" s="18"/>
      <c r="E205" s="18"/>
      <c r="F205" s="19"/>
      <c r="G205" s="18"/>
    </row>
    <row r="206" customFormat="false" ht="15" hidden="false" customHeight="false" outlineLevel="0" collapsed="false">
      <c r="C206" s="17"/>
      <c r="D206" s="18"/>
      <c r="E206" s="18"/>
      <c r="F206" s="19"/>
      <c r="G206" s="18"/>
    </row>
    <row r="207" customFormat="false" ht="15" hidden="false" customHeight="false" outlineLevel="0" collapsed="false">
      <c r="C207" s="17"/>
      <c r="D207" s="18"/>
      <c r="E207" s="18"/>
      <c r="F207" s="19"/>
      <c r="G207" s="18"/>
    </row>
    <row r="208" customFormat="false" ht="15" hidden="false" customHeight="false" outlineLevel="0" collapsed="false">
      <c r="C208" s="17"/>
      <c r="D208" s="18"/>
      <c r="E208" s="18"/>
      <c r="F208" s="19"/>
      <c r="G208" s="18"/>
    </row>
    <row r="209" customFormat="false" ht="15" hidden="false" customHeight="false" outlineLevel="0" collapsed="false">
      <c r="C209" s="17"/>
      <c r="D209" s="18"/>
      <c r="E209" s="18"/>
      <c r="F209" s="19"/>
      <c r="G209" s="18"/>
    </row>
    <row r="210" customFormat="false" ht="15" hidden="false" customHeight="false" outlineLevel="0" collapsed="false">
      <c r="C210" s="17"/>
      <c r="D210" s="18"/>
      <c r="E210" s="18"/>
      <c r="F210" s="19"/>
      <c r="G210" s="18"/>
    </row>
    <row r="211" customFormat="false" ht="15" hidden="false" customHeight="false" outlineLevel="0" collapsed="false">
      <c r="C211" s="17"/>
      <c r="D211" s="18"/>
      <c r="E211" s="18"/>
      <c r="F211" s="19"/>
      <c r="G211" s="18"/>
    </row>
    <row r="212" customFormat="false" ht="15" hidden="false" customHeight="false" outlineLevel="0" collapsed="false">
      <c r="C212" s="17"/>
      <c r="D212" s="18"/>
      <c r="E212" s="18"/>
      <c r="F212" s="19"/>
      <c r="G212" s="18"/>
    </row>
    <row r="213" customFormat="false" ht="15" hidden="false" customHeight="false" outlineLevel="0" collapsed="false">
      <c r="C213" s="17"/>
      <c r="D213" s="18"/>
      <c r="E213" s="18"/>
      <c r="F213" s="19"/>
      <c r="G213" s="18"/>
    </row>
    <row r="214" customFormat="false" ht="15" hidden="false" customHeight="false" outlineLevel="0" collapsed="false">
      <c r="C214" s="17"/>
      <c r="D214" s="18"/>
      <c r="E214" s="18"/>
      <c r="F214" s="19"/>
      <c r="G214" s="18"/>
    </row>
    <row r="215" customFormat="false" ht="15" hidden="false" customHeight="false" outlineLevel="0" collapsed="false">
      <c r="C215" s="17"/>
      <c r="D215" s="18"/>
      <c r="E215" s="18"/>
      <c r="F215" s="19"/>
      <c r="G215" s="18"/>
    </row>
    <row r="216" customFormat="false" ht="15" hidden="false" customHeight="false" outlineLevel="0" collapsed="false">
      <c r="C216" s="17"/>
      <c r="D216" s="18"/>
      <c r="E216" s="18"/>
      <c r="F216" s="19"/>
      <c r="G216" s="18"/>
    </row>
    <row r="217" customFormat="false" ht="15" hidden="false" customHeight="false" outlineLevel="0" collapsed="false">
      <c r="C217" s="17"/>
      <c r="D217" s="18"/>
      <c r="E217" s="18"/>
      <c r="F217" s="19"/>
      <c r="G217" s="18"/>
    </row>
    <row r="218" customFormat="false" ht="15" hidden="false" customHeight="false" outlineLevel="0" collapsed="false">
      <c r="C218" s="17"/>
      <c r="D218" s="18"/>
      <c r="E218" s="18"/>
      <c r="F218" s="19"/>
      <c r="G218" s="18"/>
    </row>
    <row r="219" customFormat="false" ht="15" hidden="false" customHeight="false" outlineLevel="0" collapsed="false">
      <c r="C219" s="17"/>
      <c r="D219" s="18"/>
      <c r="E219" s="18"/>
      <c r="F219" s="19"/>
      <c r="G219" s="18"/>
    </row>
    <row r="220" customFormat="false" ht="15" hidden="false" customHeight="false" outlineLevel="0" collapsed="false">
      <c r="C220" s="17"/>
      <c r="D220" s="18"/>
      <c r="E220" s="18"/>
      <c r="F220" s="19"/>
      <c r="G220" s="18"/>
    </row>
    <row r="221" customFormat="false" ht="15" hidden="false" customHeight="false" outlineLevel="0" collapsed="false">
      <c r="C221" s="17"/>
      <c r="D221" s="18"/>
      <c r="E221" s="18"/>
      <c r="F221" s="19"/>
      <c r="G221" s="18"/>
    </row>
    <row r="222" customFormat="false" ht="15" hidden="false" customHeight="false" outlineLevel="0" collapsed="false">
      <c r="C222" s="17"/>
      <c r="D222" s="18"/>
      <c r="E222" s="18"/>
      <c r="F222" s="19"/>
      <c r="G222" s="18"/>
    </row>
    <row r="223" customFormat="false" ht="15" hidden="false" customHeight="false" outlineLevel="0" collapsed="false">
      <c r="C223" s="17"/>
      <c r="D223" s="18"/>
      <c r="E223" s="18"/>
      <c r="F223" s="19"/>
      <c r="G223" s="18"/>
    </row>
    <row r="224" customFormat="false" ht="15" hidden="false" customHeight="false" outlineLevel="0" collapsed="false">
      <c r="C224" s="17"/>
      <c r="D224" s="18"/>
      <c r="E224" s="18"/>
      <c r="F224" s="19"/>
      <c r="G224" s="18"/>
    </row>
    <row r="225" customFormat="false" ht="15" hidden="false" customHeight="false" outlineLevel="0" collapsed="false">
      <c r="C225" s="17"/>
      <c r="D225" s="18"/>
      <c r="E225" s="18"/>
      <c r="F225" s="19"/>
      <c r="G225" s="18"/>
    </row>
    <row r="226" customFormat="false" ht="15" hidden="false" customHeight="false" outlineLevel="0" collapsed="false">
      <c r="C226" s="17"/>
      <c r="D226" s="18"/>
      <c r="E226" s="18"/>
      <c r="F226" s="19"/>
      <c r="G226" s="18"/>
    </row>
    <row r="227" customFormat="false" ht="15" hidden="false" customHeight="false" outlineLevel="0" collapsed="false">
      <c r="C227" s="17"/>
      <c r="D227" s="18"/>
      <c r="E227" s="18"/>
      <c r="F227" s="19"/>
      <c r="G227" s="18"/>
    </row>
    <row r="228" customFormat="false" ht="15" hidden="false" customHeight="false" outlineLevel="0" collapsed="false">
      <c r="C228" s="17"/>
      <c r="D228" s="18"/>
      <c r="E228" s="18"/>
      <c r="F228" s="19"/>
      <c r="G228" s="18"/>
    </row>
    <row r="229" customFormat="false" ht="15" hidden="false" customHeight="false" outlineLevel="0" collapsed="false">
      <c r="C229" s="17"/>
      <c r="D229" s="18"/>
      <c r="E229" s="18"/>
      <c r="F229" s="19"/>
      <c r="G229" s="18"/>
    </row>
    <row r="230" customFormat="false" ht="15" hidden="false" customHeight="false" outlineLevel="0" collapsed="false">
      <c r="C230" s="17"/>
      <c r="D230" s="18"/>
      <c r="E230" s="18"/>
      <c r="F230" s="19"/>
      <c r="G230" s="18"/>
    </row>
    <row r="231" customFormat="false" ht="15" hidden="false" customHeight="false" outlineLevel="0" collapsed="false">
      <c r="C231" s="17"/>
      <c r="D231" s="18"/>
      <c r="E231" s="18"/>
      <c r="F231" s="19"/>
      <c r="G231" s="18"/>
    </row>
    <row r="232" customFormat="false" ht="15" hidden="false" customHeight="false" outlineLevel="0" collapsed="false">
      <c r="C232" s="17"/>
      <c r="D232" s="18"/>
      <c r="E232" s="18"/>
      <c r="F232" s="19"/>
      <c r="G232" s="18"/>
    </row>
    <row r="233" customFormat="false" ht="15" hidden="false" customHeight="false" outlineLevel="0" collapsed="false">
      <c r="C233" s="17"/>
      <c r="D233" s="18"/>
      <c r="E233" s="18"/>
      <c r="F233" s="19"/>
      <c r="G233" s="18"/>
    </row>
    <row r="234" customFormat="false" ht="15" hidden="false" customHeight="false" outlineLevel="0" collapsed="false">
      <c r="C234" s="17"/>
      <c r="D234" s="18"/>
      <c r="E234" s="18"/>
      <c r="F234" s="19"/>
      <c r="G234" s="18"/>
    </row>
    <row r="235" customFormat="false" ht="15" hidden="false" customHeight="false" outlineLevel="0" collapsed="false">
      <c r="C235" s="17"/>
      <c r="D235" s="18"/>
      <c r="E235" s="18"/>
      <c r="F235" s="19"/>
      <c r="G235" s="18"/>
    </row>
    <row r="236" customFormat="false" ht="15" hidden="false" customHeight="false" outlineLevel="0" collapsed="false">
      <c r="C236" s="17"/>
      <c r="D236" s="18"/>
      <c r="E236" s="18"/>
      <c r="F236" s="19"/>
      <c r="G236" s="18"/>
    </row>
    <row r="237" customFormat="false" ht="15" hidden="false" customHeight="false" outlineLevel="0" collapsed="false">
      <c r="C237" s="17"/>
      <c r="D237" s="18"/>
      <c r="E237" s="18"/>
      <c r="F237" s="19"/>
      <c r="G237" s="18"/>
    </row>
    <row r="238" customFormat="false" ht="15" hidden="false" customHeight="false" outlineLevel="0" collapsed="false">
      <c r="C238" s="17"/>
      <c r="D238" s="18"/>
      <c r="E238" s="18"/>
      <c r="F238" s="19"/>
      <c r="G238" s="18"/>
    </row>
    <row r="239" customFormat="false" ht="15" hidden="false" customHeight="false" outlineLevel="0" collapsed="false">
      <c r="C239" s="17"/>
      <c r="D239" s="18"/>
      <c r="E239" s="18"/>
      <c r="F239" s="19"/>
      <c r="G239" s="18"/>
    </row>
    <row r="240" customFormat="false" ht="15" hidden="false" customHeight="false" outlineLevel="0" collapsed="false">
      <c r="C240" s="17"/>
      <c r="D240" s="18"/>
      <c r="E240" s="18"/>
      <c r="F240" s="19"/>
      <c r="G240" s="18"/>
    </row>
    <row r="241" customFormat="false" ht="15" hidden="false" customHeight="false" outlineLevel="0" collapsed="false">
      <c r="C241" s="17"/>
      <c r="D241" s="18"/>
      <c r="E241" s="18"/>
      <c r="F241" s="19"/>
      <c r="G241" s="18"/>
    </row>
    <row r="242" customFormat="false" ht="15" hidden="false" customHeight="false" outlineLevel="0" collapsed="false">
      <c r="C242" s="17"/>
      <c r="D242" s="18"/>
      <c r="E242" s="18"/>
      <c r="F242" s="19"/>
      <c r="G242" s="18"/>
    </row>
    <row r="243" customFormat="false" ht="15" hidden="false" customHeight="false" outlineLevel="0" collapsed="false">
      <c r="C243" s="17"/>
      <c r="D243" s="18"/>
      <c r="E243" s="18"/>
      <c r="F243" s="19"/>
      <c r="G243" s="18"/>
    </row>
    <row r="244" customFormat="false" ht="15" hidden="false" customHeight="false" outlineLevel="0" collapsed="false">
      <c r="C244" s="17"/>
      <c r="D244" s="18"/>
      <c r="E244" s="18"/>
      <c r="F244" s="19"/>
      <c r="G244" s="18"/>
    </row>
    <row r="245" customFormat="false" ht="15" hidden="false" customHeight="false" outlineLevel="0" collapsed="false">
      <c r="C245" s="17"/>
      <c r="D245" s="18"/>
      <c r="E245" s="18"/>
      <c r="F245" s="19"/>
      <c r="G245" s="18"/>
    </row>
    <row r="246" customFormat="false" ht="15" hidden="false" customHeight="false" outlineLevel="0" collapsed="false">
      <c r="C246" s="17"/>
      <c r="D246" s="18"/>
      <c r="E246" s="18"/>
      <c r="F246" s="19"/>
      <c r="G246" s="18"/>
    </row>
    <row r="247" customFormat="false" ht="15" hidden="false" customHeight="false" outlineLevel="0" collapsed="false">
      <c r="C247" s="17"/>
      <c r="D247" s="18"/>
      <c r="E247" s="18"/>
      <c r="F247" s="19"/>
      <c r="G247" s="18"/>
    </row>
    <row r="248" customFormat="false" ht="15" hidden="false" customHeight="false" outlineLevel="0" collapsed="false">
      <c r="C248" s="17"/>
      <c r="D248" s="18"/>
      <c r="E248" s="18"/>
      <c r="F248" s="19"/>
      <c r="G248" s="18"/>
    </row>
    <row r="249" customFormat="false" ht="15" hidden="false" customHeight="false" outlineLevel="0" collapsed="false">
      <c r="C249" s="17"/>
      <c r="D249" s="18"/>
      <c r="E249" s="18"/>
      <c r="F249" s="19"/>
      <c r="G249" s="18"/>
    </row>
    <row r="250" customFormat="false" ht="15" hidden="false" customHeight="false" outlineLevel="0" collapsed="false">
      <c r="C250" s="17"/>
      <c r="D250" s="18"/>
      <c r="E250" s="18"/>
      <c r="F250" s="19"/>
      <c r="G250" s="18"/>
    </row>
    <row r="251" customFormat="false" ht="15" hidden="false" customHeight="false" outlineLevel="0" collapsed="false">
      <c r="C251" s="17"/>
      <c r="D251" s="18"/>
      <c r="E251" s="18"/>
      <c r="F251" s="19"/>
      <c r="G251" s="18"/>
    </row>
    <row r="252" customFormat="false" ht="15" hidden="false" customHeight="false" outlineLevel="0" collapsed="false">
      <c r="C252" s="17"/>
      <c r="D252" s="18"/>
      <c r="E252" s="18"/>
      <c r="F252" s="19"/>
      <c r="G252" s="18"/>
    </row>
    <row r="253" customFormat="false" ht="15" hidden="false" customHeight="false" outlineLevel="0" collapsed="false">
      <c r="C253" s="17"/>
      <c r="D253" s="18"/>
      <c r="E253" s="18"/>
      <c r="F253" s="19"/>
      <c r="G253" s="18"/>
    </row>
    <row r="254" customFormat="false" ht="15" hidden="false" customHeight="false" outlineLevel="0" collapsed="false">
      <c r="C254" s="17"/>
      <c r="D254" s="18"/>
      <c r="E254" s="18"/>
      <c r="F254" s="19"/>
      <c r="G254" s="18"/>
    </row>
    <row r="255" customFormat="false" ht="15" hidden="false" customHeight="false" outlineLevel="0" collapsed="false">
      <c r="C255" s="17"/>
      <c r="D255" s="18"/>
      <c r="E255" s="18"/>
      <c r="F255" s="19"/>
      <c r="G255" s="18"/>
    </row>
    <row r="256" customFormat="false" ht="15" hidden="false" customHeight="false" outlineLevel="0" collapsed="false">
      <c r="C256" s="17"/>
      <c r="D256" s="18"/>
      <c r="E256" s="18"/>
      <c r="F256" s="19"/>
      <c r="G256" s="18"/>
    </row>
    <row r="257" customFormat="false" ht="15" hidden="false" customHeight="false" outlineLevel="0" collapsed="false">
      <c r="C257" s="17"/>
      <c r="D257" s="18"/>
      <c r="E257" s="18"/>
      <c r="F257" s="19"/>
      <c r="G257" s="18"/>
    </row>
    <row r="258" customFormat="false" ht="15" hidden="false" customHeight="false" outlineLevel="0" collapsed="false">
      <c r="C258" s="17"/>
      <c r="D258" s="18"/>
      <c r="E258" s="18"/>
      <c r="F258" s="19"/>
      <c r="G258" s="18"/>
    </row>
    <row r="259" customFormat="false" ht="15" hidden="false" customHeight="false" outlineLevel="0" collapsed="false">
      <c r="C259" s="17"/>
      <c r="D259" s="18"/>
      <c r="E259" s="18"/>
      <c r="F259" s="19"/>
      <c r="G259" s="18"/>
    </row>
    <row r="260" customFormat="false" ht="15" hidden="false" customHeight="false" outlineLevel="0" collapsed="false">
      <c r="C260" s="17"/>
      <c r="D260" s="18"/>
      <c r="E260" s="18"/>
      <c r="F260" s="19"/>
      <c r="G260" s="18"/>
    </row>
    <row r="261" customFormat="false" ht="15" hidden="false" customHeight="false" outlineLevel="0" collapsed="false">
      <c r="C261" s="17"/>
      <c r="D261" s="18"/>
      <c r="E261" s="18"/>
      <c r="F261" s="19"/>
      <c r="G261" s="18"/>
    </row>
    <row r="262" customFormat="false" ht="15" hidden="false" customHeight="false" outlineLevel="0" collapsed="false">
      <c r="C262" s="17"/>
      <c r="D262" s="18"/>
      <c r="E262" s="18"/>
      <c r="F262" s="19"/>
      <c r="G262" s="18"/>
    </row>
    <row r="263" customFormat="false" ht="15" hidden="false" customHeight="false" outlineLevel="0" collapsed="false">
      <c r="C263" s="17"/>
      <c r="D263" s="18"/>
      <c r="E263" s="18"/>
      <c r="F263" s="19"/>
      <c r="G263" s="18"/>
    </row>
    <row r="264" customFormat="false" ht="15" hidden="false" customHeight="false" outlineLevel="0" collapsed="false">
      <c r="C264" s="17"/>
      <c r="D264" s="18"/>
      <c r="E264" s="18"/>
      <c r="F264" s="19"/>
      <c r="G264" s="18"/>
    </row>
    <row r="265" customFormat="false" ht="15" hidden="false" customHeight="false" outlineLevel="0" collapsed="false">
      <c r="C265" s="17"/>
      <c r="D265" s="18"/>
      <c r="E265" s="18"/>
      <c r="F265" s="19"/>
      <c r="G265" s="18"/>
    </row>
    <row r="266" customFormat="false" ht="15" hidden="false" customHeight="false" outlineLevel="0" collapsed="false">
      <c r="C266" s="17"/>
      <c r="D266" s="18"/>
      <c r="E266" s="18"/>
      <c r="F266" s="19"/>
      <c r="G266" s="18"/>
    </row>
    <row r="267" customFormat="false" ht="15" hidden="false" customHeight="false" outlineLevel="0" collapsed="false">
      <c r="C267" s="17"/>
      <c r="D267" s="18"/>
      <c r="E267" s="18"/>
      <c r="F267" s="19"/>
      <c r="G267" s="18"/>
    </row>
    <row r="268" customFormat="false" ht="15" hidden="false" customHeight="false" outlineLevel="0" collapsed="false">
      <c r="C268" s="17"/>
      <c r="D268" s="18"/>
      <c r="E268" s="18"/>
      <c r="F268" s="19"/>
      <c r="G268" s="18"/>
    </row>
    <row r="269" customFormat="false" ht="15" hidden="false" customHeight="false" outlineLevel="0" collapsed="false">
      <c r="C269" s="17"/>
      <c r="D269" s="18"/>
      <c r="E269" s="18"/>
      <c r="F269" s="19"/>
      <c r="G269" s="18"/>
    </row>
    <row r="270" customFormat="false" ht="15" hidden="false" customHeight="false" outlineLevel="0" collapsed="false">
      <c r="C270" s="17"/>
      <c r="D270" s="18"/>
      <c r="E270" s="18"/>
      <c r="F270" s="19"/>
      <c r="G270" s="18"/>
    </row>
    <row r="271" customFormat="false" ht="15" hidden="false" customHeight="false" outlineLevel="0" collapsed="false">
      <c r="C271" s="17"/>
      <c r="D271" s="18"/>
      <c r="E271" s="18"/>
      <c r="F271" s="19"/>
      <c r="G271" s="18"/>
    </row>
    <row r="272" customFormat="false" ht="15" hidden="false" customHeight="false" outlineLevel="0" collapsed="false">
      <c r="C272" s="17"/>
      <c r="D272" s="18"/>
      <c r="E272" s="18"/>
      <c r="F272" s="19"/>
      <c r="G272" s="18"/>
    </row>
    <row r="273" customFormat="false" ht="15" hidden="false" customHeight="false" outlineLevel="0" collapsed="false">
      <c r="C273" s="17"/>
      <c r="D273" s="18"/>
      <c r="E273" s="18"/>
      <c r="F273" s="19"/>
      <c r="G273" s="18"/>
    </row>
    <row r="274" customFormat="false" ht="15" hidden="false" customHeight="false" outlineLevel="0" collapsed="false">
      <c r="C274" s="17"/>
      <c r="D274" s="18"/>
      <c r="E274" s="18"/>
      <c r="F274" s="19"/>
      <c r="G274" s="18"/>
    </row>
    <row r="275" customFormat="false" ht="15" hidden="false" customHeight="false" outlineLevel="0" collapsed="false">
      <c r="C275" s="17"/>
      <c r="D275" s="18"/>
      <c r="E275" s="18"/>
      <c r="F275" s="19"/>
      <c r="G275" s="18"/>
    </row>
    <row r="276" customFormat="false" ht="15" hidden="false" customHeight="false" outlineLevel="0" collapsed="false">
      <c r="C276" s="17"/>
      <c r="D276" s="18"/>
      <c r="E276" s="18"/>
      <c r="F276" s="19"/>
      <c r="G276" s="18"/>
    </row>
    <row r="277" customFormat="false" ht="15" hidden="false" customHeight="false" outlineLevel="0" collapsed="false">
      <c r="C277" s="17"/>
      <c r="D277" s="18"/>
      <c r="E277" s="18"/>
      <c r="F277" s="19"/>
      <c r="G277" s="18"/>
    </row>
    <row r="278" customFormat="false" ht="15" hidden="false" customHeight="false" outlineLevel="0" collapsed="false">
      <c r="C278" s="17"/>
      <c r="D278" s="18"/>
      <c r="E278" s="18"/>
      <c r="F278" s="19"/>
      <c r="G278" s="18"/>
    </row>
    <row r="279" customFormat="false" ht="15" hidden="false" customHeight="false" outlineLevel="0" collapsed="false">
      <c r="C279" s="17"/>
      <c r="D279" s="18"/>
      <c r="E279" s="18"/>
      <c r="F279" s="19"/>
      <c r="G279" s="18"/>
    </row>
    <row r="280" customFormat="false" ht="15" hidden="false" customHeight="false" outlineLevel="0" collapsed="false">
      <c r="C280" s="17"/>
      <c r="D280" s="18"/>
      <c r="E280" s="18"/>
      <c r="F280" s="19"/>
      <c r="G280" s="18"/>
    </row>
    <row r="281" customFormat="false" ht="15" hidden="false" customHeight="false" outlineLevel="0" collapsed="false">
      <c r="C281" s="17"/>
      <c r="D281" s="18"/>
      <c r="E281" s="18"/>
      <c r="F281" s="19"/>
      <c r="G281" s="18"/>
    </row>
    <row r="282" customFormat="false" ht="15" hidden="false" customHeight="false" outlineLevel="0" collapsed="false">
      <c r="C282" s="17"/>
      <c r="D282" s="18"/>
      <c r="E282" s="18"/>
      <c r="F282" s="19"/>
      <c r="G282" s="18"/>
    </row>
    <row r="283" customFormat="false" ht="15" hidden="false" customHeight="false" outlineLevel="0" collapsed="false">
      <c r="C283" s="17"/>
      <c r="D283" s="18"/>
      <c r="E283" s="18"/>
      <c r="F283" s="19"/>
      <c r="G283" s="18"/>
    </row>
    <row r="284" customFormat="false" ht="15" hidden="false" customHeight="false" outlineLevel="0" collapsed="false">
      <c r="C284" s="17"/>
      <c r="D284" s="18"/>
      <c r="E284" s="18"/>
      <c r="F284" s="19"/>
      <c r="G284" s="18"/>
    </row>
    <row r="285" customFormat="false" ht="15" hidden="false" customHeight="false" outlineLevel="0" collapsed="false">
      <c r="C285" s="17"/>
      <c r="D285" s="18"/>
      <c r="E285" s="18"/>
      <c r="F285" s="19"/>
      <c r="G285" s="18"/>
    </row>
    <row r="286" customFormat="false" ht="15" hidden="false" customHeight="false" outlineLevel="0" collapsed="false">
      <c r="C286" s="17"/>
      <c r="D286" s="18"/>
      <c r="E286" s="18"/>
      <c r="F286" s="19"/>
      <c r="G286" s="18"/>
    </row>
    <row r="287" customFormat="false" ht="15" hidden="false" customHeight="false" outlineLevel="0" collapsed="false">
      <c r="C287" s="17"/>
      <c r="D287" s="18"/>
      <c r="E287" s="18"/>
      <c r="F287" s="19"/>
      <c r="G287" s="18"/>
    </row>
    <row r="288" customFormat="false" ht="15" hidden="false" customHeight="false" outlineLevel="0" collapsed="false">
      <c r="C288" s="17"/>
      <c r="D288" s="18"/>
      <c r="E288" s="18"/>
      <c r="F288" s="19"/>
      <c r="G288" s="18"/>
    </row>
    <row r="289" customFormat="false" ht="15" hidden="false" customHeight="false" outlineLevel="0" collapsed="false">
      <c r="C289" s="17"/>
      <c r="D289" s="18"/>
      <c r="E289" s="18"/>
      <c r="F289" s="19"/>
      <c r="G289" s="18"/>
    </row>
    <row r="290" customFormat="false" ht="15" hidden="false" customHeight="false" outlineLevel="0" collapsed="false">
      <c r="C290" s="17"/>
      <c r="D290" s="18"/>
      <c r="E290" s="18"/>
      <c r="F290" s="19"/>
      <c r="G290" s="18"/>
    </row>
    <row r="291" customFormat="false" ht="15" hidden="false" customHeight="false" outlineLevel="0" collapsed="false">
      <c r="C291" s="17"/>
      <c r="D291" s="18"/>
      <c r="E291" s="18"/>
      <c r="F291" s="19"/>
      <c r="G291" s="18"/>
    </row>
    <row r="292" customFormat="false" ht="15" hidden="false" customHeight="false" outlineLevel="0" collapsed="false">
      <c r="C292" s="17"/>
      <c r="D292" s="18"/>
      <c r="E292" s="18"/>
      <c r="F292" s="19"/>
      <c r="G292" s="18"/>
    </row>
    <row r="293" customFormat="false" ht="15" hidden="false" customHeight="false" outlineLevel="0" collapsed="false">
      <c r="C293" s="17"/>
      <c r="D293" s="18"/>
      <c r="E293" s="18"/>
      <c r="F293" s="19"/>
      <c r="G293" s="18"/>
    </row>
    <row r="294" customFormat="false" ht="15" hidden="false" customHeight="false" outlineLevel="0" collapsed="false">
      <c r="C294" s="17"/>
      <c r="D294" s="18"/>
      <c r="E294" s="18"/>
      <c r="F294" s="19"/>
      <c r="G294" s="18"/>
    </row>
    <row r="295" customFormat="false" ht="15" hidden="false" customHeight="false" outlineLevel="0" collapsed="false">
      <c r="C295" s="17"/>
      <c r="D295" s="18"/>
      <c r="E295" s="18"/>
      <c r="F295" s="19"/>
      <c r="G295" s="18"/>
    </row>
    <row r="296" customFormat="false" ht="15" hidden="false" customHeight="false" outlineLevel="0" collapsed="false">
      <c r="C296" s="17"/>
      <c r="D296" s="18"/>
      <c r="E296" s="18"/>
      <c r="F296" s="19"/>
      <c r="G296" s="18"/>
    </row>
    <row r="297" customFormat="false" ht="15" hidden="false" customHeight="false" outlineLevel="0" collapsed="false">
      <c r="C297" s="17"/>
      <c r="D297" s="18"/>
      <c r="E297" s="18"/>
      <c r="F297" s="19"/>
      <c r="G297" s="18"/>
    </row>
    <row r="298" customFormat="false" ht="15" hidden="false" customHeight="false" outlineLevel="0" collapsed="false">
      <c r="C298" s="17"/>
      <c r="D298" s="18"/>
      <c r="E298" s="18"/>
      <c r="F298" s="19"/>
      <c r="G298" s="18"/>
    </row>
    <row r="299" customFormat="false" ht="15" hidden="false" customHeight="false" outlineLevel="0" collapsed="false">
      <c r="C299" s="17"/>
      <c r="D299" s="18"/>
      <c r="E299" s="18"/>
      <c r="F299" s="19"/>
      <c r="G299" s="18"/>
    </row>
    <row r="300" customFormat="false" ht="15" hidden="false" customHeight="false" outlineLevel="0" collapsed="false">
      <c r="C300" s="17"/>
      <c r="D300" s="18"/>
      <c r="E300" s="18"/>
      <c r="F300" s="19"/>
      <c r="G300" s="18"/>
    </row>
    <row r="301" customFormat="false" ht="15" hidden="false" customHeight="false" outlineLevel="0" collapsed="false">
      <c r="C301" s="17"/>
      <c r="D301" s="18"/>
      <c r="E301" s="18"/>
      <c r="F301" s="19"/>
      <c r="G301" s="18"/>
    </row>
    <row r="302" customFormat="false" ht="15" hidden="false" customHeight="false" outlineLevel="0" collapsed="false">
      <c r="C302" s="17"/>
      <c r="D302" s="18"/>
      <c r="E302" s="18"/>
      <c r="F302" s="19"/>
      <c r="G302" s="18"/>
    </row>
    <row r="303" customFormat="false" ht="15" hidden="false" customHeight="false" outlineLevel="0" collapsed="false">
      <c r="C303" s="17"/>
      <c r="D303" s="18"/>
      <c r="E303" s="18"/>
      <c r="F303" s="19"/>
      <c r="G303" s="18"/>
    </row>
    <row r="304" customFormat="false" ht="15" hidden="false" customHeight="false" outlineLevel="0" collapsed="false">
      <c r="C304" s="17"/>
      <c r="D304" s="18"/>
      <c r="E304" s="18"/>
      <c r="F304" s="19"/>
      <c r="G304" s="18"/>
    </row>
    <row r="305" customFormat="false" ht="15" hidden="false" customHeight="false" outlineLevel="0" collapsed="false">
      <c r="C305" s="17"/>
      <c r="D305" s="18"/>
      <c r="E305" s="18"/>
      <c r="F305" s="19"/>
      <c r="G305" s="18"/>
    </row>
    <row r="306" customFormat="false" ht="15" hidden="false" customHeight="false" outlineLevel="0" collapsed="false">
      <c r="C306" s="17"/>
      <c r="D306" s="18"/>
      <c r="E306" s="18"/>
      <c r="F306" s="19"/>
      <c r="G306" s="18"/>
    </row>
    <row r="307" customFormat="false" ht="15" hidden="false" customHeight="false" outlineLevel="0" collapsed="false">
      <c r="C307" s="17"/>
      <c r="D307" s="18"/>
      <c r="E307" s="18"/>
      <c r="F307" s="19"/>
      <c r="G307" s="18"/>
    </row>
    <row r="308" customFormat="false" ht="15" hidden="false" customHeight="false" outlineLevel="0" collapsed="false">
      <c r="C308" s="17"/>
      <c r="D308" s="18"/>
      <c r="E308" s="18"/>
      <c r="F308" s="19"/>
      <c r="G308" s="18"/>
    </row>
    <row r="309" customFormat="false" ht="15" hidden="false" customHeight="false" outlineLevel="0" collapsed="false">
      <c r="C309" s="17"/>
      <c r="D309" s="18"/>
      <c r="E309" s="18"/>
      <c r="F309" s="19"/>
      <c r="G309" s="18"/>
    </row>
    <row r="310" customFormat="false" ht="15" hidden="false" customHeight="false" outlineLevel="0" collapsed="false">
      <c r="C310" s="17"/>
      <c r="D310" s="18"/>
      <c r="E310" s="18"/>
      <c r="F310" s="19"/>
      <c r="G310" s="18"/>
    </row>
    <row r="311" customFormat="false" ht="15" hidden="false" customHeight="false" outlineLevel="0" collapsed="false">
      <c r="C311" s="17"/>
      <c r="D311" s="18"/>
      <c r="E311" s="18"/>
      <c r="F311" s="19"/>
      <c r="G311" s="18"/>
    </row>
    <row r="312" customFormat="false" ht="15" hidden="false" customHeight="false" outlineLevel="0" collapsed="false">
      <c r="C312" s="17"/>
      <c r="D312" s="18"/>
      <c r="E312" s="18"/>
      <c r="F312" s="19"/>
      <c r="G312" s="18"/>
    </row>
    <row r="313" customFormat="false" ht="15" hidden="false" customHeight="false" outlineLevel="0" collapsed="false">
      <c r="C313" s="17"/>
      <c r="D313" s="18"/>
      <c r="E313" s="18"/>
      <c r="F313" s="19"/>
      <c r="G313" s="18"/>
    </row>
    <row r="314" customFormat="false" ht="15" hidden="false" customHeight="false" outlineLevel="0" collapsed="false">
      <c r="C314" s="17"/>
      <c r="D314" s="18"/>
      <c r="E314" s="18"/>
      <c r="F314" s="19"/>
      <c r="G314" s="18"/>
    </row>
    <row r="315" customFormat="false" ht="15" hidden="false" customHeight="false" outlineLevel="0" collapsed="false">
      <c r="C315" s="17"/>
      <c r="D315" s="18"/>
      <c r="E315" s="18"/>
      <c r="F315" s="19"/>
      <c r="G315" s="18"/>
    </row>
    <row r="316" customFormat="false" ht="15" hidden="false" customHeight="false" outlineLevel="0" collapsed="false">
      <c r="C316" s="17"/>
      <c r="D316" s="18"/>
      <c r="E316" s="18"/>
      <c r="F316" s="19"/>
      <c r="G316" s="18"/>
    </row>
    <row r="317" customFormat="false" ht="15" hidden="false" customHeight="false" outlineLevel="0" collapsed="false">
      <c r="C317" s="17"/>
      <c r="D317" s="18"/>
      <c r="E317" s="18"/>
      <c r="F317" s="19"/>
      <c r="G317" s="18"/>
    </row>
    <row r="318" customFormat="false" ht="15" hidden="false" customHeight="false" outlineLevel="0" collapsed="false">
      <c r="C318" s="17"/>
      <c r="D318" s="18"/>
      <c r="E318" s="18"/>
      <c r="F318" s="19"/>
      <c r="G318" s="18"/>
    </row>
    <row r="319" customFormat="false" ht="15" hidden="false" customHeight="false" outlineLevel="0" collapsed="false">
      <c r="C319" s="17"/>
      <c r="D319" s="18"/>
      <c r="E319" s="18"/>
      <c r="F319" s="19"/>
      <c r="G319" s="18"/>
    </row>
    <row r="320" customFormat="false" ht="15" hidden="false" customHeight="false" outlineLevel="0" collapsed="false">
      <c r="C320" s="17"/>
      <c r="D320" s="18"/>
      <c r="E320" s="18"/>
      <c r="F320" s="19"/>
      <c r="G320" s="18"/>
    </row>
    <row r="321" customFormat="false" ht="15" hidden="false" customHeight="false" outlineLevel="0" collapsed="false">
      <c r="C321" s="17"/>
      <c r="D321" s="18"/>
      <c r="E321" s="18"/>
      <c r="F321" s="19"/>
      <c r="G321" s="18"/>
    </row>
    <row r="322" customFormat="false" ht="15" hidden="false" customHeight="false" outlineLevel="0" collapsed="false">
      <c r="C322" s="17"/>
      <c r="D322" s="18"/>
      <c r="E322" s="18"/>
      <c r="F322" s="19"/>
      <c r="G322" s="18"/>
    </row>
    <row r="323" customFormat="false" ht="15" hidden="false" customHeight="false" outlineLevel="0" collapsed="false">
      <c r="C323" s="17"/>
      <c r="D323" s="18"/>
      <c r="E323" s="18"/>
      <c r="F323" s="19"/>
      <c r="G323" s="18"/>
    </row>
    <row r="324" customFormat="false" ht="15" hidden="false" customHeight="false" outlineLevel="0" collapsed="false">
      <c r="C324" s="17"/>
      <c r="D324" s="18"/>
      <c r="E324" s="18"/>
      <c r="F324" s="19"/>
      <c r="G324" s="18"/>
    </row>
    <row r="325" customFormat="false" ht="15" hidden="false" customHeight="false" outlineLevel="0" collapsed="false">
      <c r="C325" s="17"/>
      <c r="D325" s="18"/>
      <c r="E325" s="18"/>
      <c r="F325" s="19"/>
      <c r="G325" s="18"/>
    </row>
    <row r="326" customFormat="false" ht="15" hidden="false" customHeight="false" outlineLevel="0" collapsed="false">
      <c r="C326" s="17"/>
      <c r="D326" s="18"/>
      <c r="E326" s="18"/>
      <c r="F326" s="19"/>
      <c r="G326" s="18"/>
    </row>
    <row r="327" customFormat="false" ht="15" hidden="false" customHeight="false" outlineLevel="0" collapsed="false">
      <c r="C327" s="17"/>
      <c r="D327" s="18"/>
      <c r="E327" s="18"/>
      <c r="F327" s="19"/>
      <c r="G327" s="18"/>
    </row>
    <row r="328" customFormat="false" ht="15" hidden="false" customHeight="false" outlineLevel="0" collapsed="false">
      <c r="C328" s="17"/>
      <c r="D328" s="18"/>
      <c r="E328" s="18"/>
      <c r="F328" s="19"/>
      <c r="G328" s="18"/>
    </row>
    <row r="329" customFormat="false" ht="15" hidden="false" customHeight="false" outlineLevel="0" collapsed="false">
      <c r="C329" s="17"/>
      <c r="D329" s="18"/>
      <c r="E329" s="18"/>
      <c r="F329" s="19"/>
      <c r="G329" s="18"/>
    </row>
    <row r="330" customFormat="false" ht="15" hidden="false" customHeight="false" outlineLevel="0" collapsed="false">
      <c r="C330" s="17"/>
      <c r="D330" s="18"/>
      <c r="E330" s="18"/>
      <c r="F330" s="19"/>
      <c r="G330" s="18"/>
    </row>
    <row r="331" customFormat="false" ht="15" hidden="false" customHeight="false" outlineLevel="0" collapsed="false">
      <c r="C331" s="17"/>
      <c r="D331" s="18"/>
      <c r="E331" s="18"/>
      <c r="F331" s="19"/>
      <c r="G331" s="18"/>
    </row>
    <row r="332" customFormat="false" ht="15" hidden="false" customHeight="false" outlineLevel="0" collapsed="false">
      <c r="C332" s="17"/>
      <c r="D332" s="18"/>
      <c r="E332" s="18"/>
      <c r="F332" s="19"/>
      <c r="G332" s="18"/>
    </row>
    <row r="333" customFormat="false" ht="15" hidden="false" customHeight="false" outlineLevel="0" collapsed="false">
      <c r="C333" s="17"/>
      <c r="D333" s="18"/>
      <c r="E333" s="18"/>
      <c r="F333" s="19"/>
      <c r="G333" s="18"/>
    </row>
    <row r="334" customFormat="false" ht="15" hidden="false" customHeight="false" outlineLevel="0" collapsed="false">
      <c r="C334" s="17"/>
      <c r="D334" s="18"/>
      <c r="E334" s="18"/>
      <c r="F334" s="19"/>
      <c r="G334" s="18"/>
    </row>
    <row r="335" customFormat="false" ht="15" hidden="false" customHeight="false" outlineLevel="0" collapsed="false">
      <c r="C335" s="17"/>
      <c r="D335" s="18"/>
      <c r="E335" s="18"/>
      <c r="F335" s="19"/>
      <c r="G335" s="18"/>
    </row>
    <row r="336" customFormat="false" ht="15" hidden="false" customHeight="false" outlineLevel="0" collapsed="false">
      <c r="C336" s="17"/>
      <c r="D336" s="18"/>
      <c r="E336" s="18"/>
      <c r="F336" s="19"/>
      <c r="G336" s="18"/>
    </row>
    <row r="337" customFormat="false" ht="15" hidden="false" customHeight="false" outlineLevel="0" collapsed="false">
      <c r="C337" s="17"/>
      <c r="D337" s="18"/>
      <c r="E337" s="18"/>
      <c r="F337" s="19"/>
      <c r="G337" s="18"/>
    </row>
    <row r="338" customFormat="false" ht="15" hidden="false" customHeight="false" outlineLevel="0" collapsed="false">
      <c r="C338" s="17"/>
      <c r="D338" s="18"/>
      <c r="E338" s="18"/>
      <c r="F338" s="19"/>
      <c r="G338" s="18"/>
    </row>
    <row r="339" customFormat="false" ht="15" hidden="false" customHeight="false" outlineLevel="0" collapsed="false">
      <c r="C339" s="17"/>
      <c r="D339" s="18"/>
      <c r="E339" s="18"/>
      <c r="F339" s="19"/>
      <c r="G339" s="18"/>
    </row>
    <row r="340" customFormat="false" ht="15" hidden="false" customHeight="false" outlineLevel="0" collapsed="false">
      <c r="C340" s="17"/>
      <c r="D340" s="18"/>
      <c r="E340" s="18"/>
      <c r="F340" s="19"/>
      <c r="G340" s="18"/>
    </row>
    <row r="341" customFormat="false" ht="15" hidden="false" customHeight="false" outlineLevel="0" collapsed="false">
      <c r="C341" s="17"/>
      <c r="D341" s="18"/>
      <c r="E341" s="18"/>
      <c r="F341" s="19"/>
      <c r="G341" s="18"/>
    </row>
    <row r="342" customFormat="false" ht="15" hidden="false" customHeight="false" outlineLevel="0" collapsed="false">
      <c r="C342" s="17"/>
      <c r="D342" s="18"/>
      <c r="E342" s="18"/>
      <c r="F342" s="19"/>
      <c r="G342" s="18"/>
    </row>
    <row r="343" customFormat="false" ht="15" hidden="false" customHeight="false" outlineLevel="0" collapsed="false">
      <c r="C343" s="17"/>
      <c r="D343" s="18"/>
      <c r="E343" s="18"/>
      <c r="F343" s="19"/>
      <c r="G343" s="18"/>
    </row>
    <row r="344" customFormat="false" ht="15" hidden="false" customHeight="false" outlineLevel="0" collapsed="false">
      <c r="C344" s="17"/>
      <c r="D344" s="18"/>
      <c r="E344" s="18"/>
      <c r="F344" s="19"/>
      <c r="G344" s="18"/>
    </row>
    <row r="345" customFormat="false" ht="15" hidden="false" customHeight="false" outlineLevel="0" collapsed="false">
      <c r="C345" s="17"/>
      <c r="D345" s="18"/>
      <c r="E345" s="18"/>
      <c r="F345" s="19"/>
      <c r="G345" s="18"/>
    </row>
    <row r="346" customFormat="false" ht="15" hidden="false" customHeight="false" outlineLevel="0" collapsed="false">
      <c r="C346" s="17"/>
      <c r="D346" s="18"/>
      <c r="E346" s="18"/>
      <c r="F346" s="19"/>
      <c r="G346" s="18"/>
    </row>
    <row r="347" customFormat="false" ht="15" hidden="false" customHeight="false" outlineLevel="0" collapsed="false">
      <c r="C347" s="17"/>
      <c r="D347" s="18"/>
      <c r="E347" s="18"/>
      <c r="F347" s="19"/>
      <c r="G347" s="18"/>
    </row>
    <row r="348" customFormat="false" ht="15" hidden="false" customHeight="false" outlineLevel="0" collapsed="false">
      <c r="C348" s="17"/>
      <c r="D348" s="18"/>
      <c r="E348" s="18"/>
      <c r="F348" s="19"/>
      <c r="G348" s="18"/>
    </row>
    <row r="349" customFormat="false" ht="15" hidden="false" customHeight="false" outlineLevel="0" collapsed="false">
      <c r="C349" s="17"/>
      <c r="D349" s="18"/>
      <c r="E349" s="18"/>
      <c r="F349" s="19"/>
      <c r="G349" s="18"/>
    </row>
    <row r="350" customFormat="false" ht="15" hidden="false" customHeight="false" outlineLevel="0" collapsed="false">
      <c r="C350" s="17"/>
      <c r="D350" s="18"/>
      <c r="E350" s="18"/>
      <c r="F350" s="19"/>
      <c r="G350" s="18"/>
    </row>
    <row r="351" customFormat="false" ht="15" hidden="false" customHeight="false" outlineLevel="0" collapsed="false">
      <c r="C351" s="17"/>
      <c r="D351" s="18"/>
      <c r="E351" s="18"/>
      <c r="F351" s="19"/>
      <c r="G351" s="18"/>
    </row>
    <row r="352" customFormat="false" ht="15" hidden="false" customHeight="false" outlineLevel="0" collapsed="false">
      <c r="C352" s="17"/>
      <c r="D352" s="18"/>
      <c r="E352" s="18"/>
      <c r="F352" s="19"/>
      <c r="G352" s="18"/>
    </row>
    <row r="353" customFormat="false" ht="15" hidden="false" customHeight="false" outlineLevel="0" collapsed="false">
      <c r="C353" s="17"/>
      <c r="D353" s="18"/>
      <c r="E353" s="18"/>
      <c r="F353" s="19"/>
      <c r="G353" s="18"/>
    </row>
    <row r="354" customFormat="false" ht="15" hidden="false" customHeight="false" outlineLevel="0" collapsed="false">
      <c r="C354" s="17"/>
      <c r="D354" s="18"/>
      <c r="E354" s="18"/>
      <c r="F354" s="19"/>
      <c r="G354" s="18"/>
    </row>
    <row r="355" customFormat="false" ht="15" hidden="false" customHeight="false" outlineLevel="0" collapsed="false">
      <c r="C355" s="17"/>
      <c r="D355" s="18"/>
      <c r="E355" s="18"/>
      <c r="F355" s="19"/>
      <c r="G355" s="18"/>
    </row>
    <row r="356" customFormat="false" ht="15" hidden="false" customHeight="false" outlineLevel="0" collapsed="false">
      <c r="C356" s="17"/>
      <c r="D356" s="18"/>
      <c r="E356" s="18"/>
      <c r="F356" s="19"/>
      <c r="G356" s="18"/>
    </row>
    <row r="357" customFormat="false" ht="15" hidden="false" customHeight="false" outlineLevel="0" collapsed="false">
      <c r="C357" s="17"/>
      <c r="D357" s="18"/>
      <c r="E357" s="18"/>
      <c r="F357" s="19"/>
      <c r="G357" s="18"/>
    </row>
    <row r="358" customFormat="false" ht="15" hidden="false" customHeight="false" outlineLevel="0" collapsed="false">
      <c r="C358" s="17"/>
      <c r="D358" s="18"/>
      <c r="E358" s="18"/>
      <c r="F358" s="19"/>
      <c r="G358" s="18"/>
    </row>
    <row r="359" customFormat="false" ht="15" hidden="false" customHeight="false" outlineLevel="0" collapsed="false">
      <c r="C359" s="17"/>
      <c r="D359" s="18"/>
      <c r="E359" s="18"/>
      <c r="F359" s="19"/>
      <c r="G359" s="18"/>
    </row>
    <row r="360" customFormat="false" ht="15" hidden="false" customHeight="false" outlineLevel="0" collapsed="false">
      <c r="C360" s="17"/>
      <c r="D360" s="18"/>
      <c r="E360" s="18"/>
      <c r="F360" s="19"/>
      <c r="G360" s="18"/>
    </row>
    <row r="361" customFormat="false" ht="15" hidden="false" customHeight="false" outlineLevel="0" collapsed="false">
      <c r="C361" s="17"/>
      <c r="D361" s="18"/>
      <c r="E361" s="18"/>
      <c r="F361" s="19"/>
      <c r="G361" s="18"/>
    </row>
    <row r="362" customFormat="false" ht="15" hidden="false" customHeight="false" outlineLevel="0" collapsed="false">
      <c r="C362" s="17"/>
      <c r="D362" s="18"/>
      <c r="E362" s="18"/>
      <c r="F362" s="19"/>
      <c r="G362" s="18"/>
    </row>
    <row r="363" customFormat="false" ht="15" hidden="false" customHeight="false" outlineLevel="0" collapsed="false">
      <c r="C363" s="17"/>
      <c r="D363" s="18"/>
      <c r="E363" s="18"/>
      <c r="F363" s="19"/>
      <c r="G363" s="18"/>
    </row>
    <row r="364" customFormat="false" ht="15" hidden="false" customHeight="false" outlineLevel="0" collapsed="false">
      <c r="C364" s="17"/>
      <c r="D364" s="18"/>
      <c r="E364" s="18"/>
      <c r="F364" s="19"/>
      <c r="G364" s="18"/>
    </row>
    <row r="365" customFormat="false" ht="15" hidden="false" customHeight="false" outlineLevel="0" collapsed="false">
      <c r="C365" s="17"/>
      <c r="D365" s="18"/>
      <c r="E365" s="18"/>
      <c r="F365" s="19"/>
      <c r="G365" s="18"/>
    </row>
    <row r="366" customFormat="false" ht="15" hidden="false" customHeight="false" outlineLevel="0" collapsed="false">
      <c r="C366" s="17"/>
      <c r="D366" s="18"/>
      <c r="E366" s="18"/>
      <c r="F366" s="19"/>
      <c r="G366" s="18"/>
    </row>
    <row r="367" customFormat="false" ht="15" hidden="false" customHeight="false" outlineLevel="0" collapsed="false">
      <c r="C367" s="17"/>
      <c r="D367" s="18"/>
      <c r="E367" s="18"/>
      <c r="F367" s="19"/>
      <c r="G367" s="18"/>
    </row>
    <row r="368" customFormat="false" ht="15" hidden="false" customHeight="false" outlineLevel="0" collapsed="false">
      <c r="C368" s="17"/>
      <c r="D368" s="18"/>
      <c r="E368" s="18"/>
      <c r="F368" s="19"/>
      <c r="G368" s="18"/>
    </row>
    <row r="369" customFormat="false" ht="15" hidden="false" customHeight="false" outlineLevel="0" collapsed="false">
      <c r="C369" s="17"/>
      <c r="D369" s="18"/>
      <c r="E369" s="18"/>
      <c r="F369" s="19"/>
      <c r="G369" s="18"/>
    </row>
    <row r="370" customFormat="false" ht="15" hidden="false" customHeight="false" outlineLevel="0" collapsed="false">
      <c r="C370" s="17"/>
      <c r="D370" s="18"/>
      <c r="E370" s="18"/>
      <c r="F370" s="19"/>
      <c r="G370" s="18"/>
    </row>
    <row r="371" customFormat="false" ht="15" hidden="false" customHeight="false" outlineLevel="0" collapsed="false">
      <c r="C371" s="17"/>
      <c r="D371" s="18"/>
      <c r="E371" s="18"/>
      <c r="F371" s="19"/>
      <c r="G371" s="18"/>
    </row>
    <row r="372" customFormat="false" ht="15" hidden="false" customHeight="false" outlineLevel="0" collapsed="false">
      <c r="C372" s="17"/>
      <c r="D372" s="18"/>
      <c r="E372" s="18"/>
      <c r="F372" s="19"/>
      <c r="G372" s="18"/>
    </row>
    <row r="373" customFormat="false" ht="15" hidden="false" customHeight="false" outlineLevel="0" collapsed="false">
      <c r="C373" s="17"/>
      <c r="D373" s="18"/>
      <c r="E373" s="18"/>
      <c r="F373" s="19"/>
      <c r="G373" s="18"/>
    </row>
    <row r="374" customFormat="false" ht="15" hidden="false" customHeight="false" outlineLevel="0" collapsed="false">
      <c r="C374" s="17"/>
      <c r="D374" s="18"/>
      <c r="E374" s="18"/>
      <c r="F374" s="19"/>
      <c r="G374" s="18"/>
    </row>
    <row r="375" customFormat="false" ht="15" hidden="false" customHeight="false" outlineLevel="0" collapsed="false">
      <c r="C375" s="17"/>
      <c r="D375" s="18"/>
      <c r="E375" s="18"/>
      <c r="F375" s="19"/>
      <c r="G375" s="18"/>
    </row>
    <row r="376" customFormat="false" ht="15" hidden="false" customHeight="false" outlineLevel="0" collapsed="false">
      <c r="C376" s="17"/>
      <c r="D376" s="18"/>
      <c r="E376" s="18"/>
      <c r="F376" s="19"/>
      <c r="G376" s="18"/>
    </row>
    <row r="377" customFormat="false" ht="15" hidden="false" customHeight="false" outlineLevel="0" collapsed="false">
      <c r="C377" s="17"/>
      <c r="D377" s="18"/>
      <c r="E377" s="18"/>
      <c r="F377" s="19"/>
      <c r="G377" s="18"/>
    </row>
    <row r="378" customFormat="false" ht="15" hidden="false" customHeight="false" outlineLevel="0" collapsed="false">
      <c r="C378" s="17"/>
      <c r="D378" s="18"/>
      <c r="E378" s="18"/>
      <c r="F378" s="19"/>
      <c r="G378" s="18"/>
    </row>
    <row r="379" customFormat="false" ht="15" hidden="false" customHeight="false" outlineLevel="0" collapsed="false">
      <c r="C379" s="17"/>
      <c r="D379" s="18"/>
      <c r="E379" s="18"/>
      <c r="F379" s="19"/>
      <c r="G379" s="18"/>
    </row>
    <row r="380" customFormat="false" ht="15" hidden="false" customHeight="false" outlineLevel="0" collapsed="false">
      <c r="C380" s="17"/>
      <c r="D380" s="18"/>
      <c r="E380" s="18"/>
      <c r="F380" s="19"/>
      <c r="G380" s="18"/>
    </row>
    <row r="381" customFormat="false" ht="15" hidden="false" customHeight="false" outlineLevel="0" collapsed="false">
      <c r="C381" s="17"/>
      <c r="D381" s="18"/>
      <c r="E381" s="18"/>
      <c r="F381" s="19"/>
      <c r="G381" s="18"/>
    </row>
    <row r="382" customFormat="false" ht="15" hidden="false" customHeight="false" outlineLevel="0" collapsed="false">
      <c r="C382" s="17"/>
      <c r="D382" s="18"/>
      <c r="E382" s="18"/>
      <c r="F382" s="19"/>
      <c r="G382" s="18"/>
    </row>
    <row r="383" customFormat="false" ht="15" hidden="false" customHeight="false" outlineLevel="0" collapsed="false">
      <c r="C383" s="17"/>
      <c r="D383" s="18"/>
      <c r="E383" s="18"/>
      <c r="F383" s="19"/>
      <c r="G383" s="18"/>
    </row>
    <row r="384" customFormat="false" ht="15" hidden="false" customHeight="false" outlineLevel="0" collapsed="false">
      <c r="C384" s="17"/>
      <c r="D384" s="18"/>
      <c r="E384" s="18"/>
      <c r="F384" s="19"/>
      <c r="G384" s="18"/>
    </row>
    <row r="385" customFormat="false" ht="15" hidden="false" customHeight="false" outlineLevel="0" collapsed="false">
      <c r="C385" s="17"/>
      <c r="D385" s="18"/>
      <c r="E385" s="18"/>
      <c r="F385" s="19"/>
      <c r="G385" s="18"/>
    </row>
    <row r="386" customFormat="false" ht="15" hidden="false" customHeight="false" outlineLevel="0" collapsed="false">
      <c r="C386" s="17"/>
      <c r="D386" s="18"/>
      <c r="E386" s="18"/>
      <c r="F386" s="19"/>
      <c r="G386" s="18"/>
    </row>
    <row r="387" customFormat="false" ht="15" hidden="false" customHeight="false" outlineLevel="0" collapsed="false">
      <c r="C387" s="17"/>
      <c r="D387" s="18"/>
      <c r="E387" s="18"/>
      <c r="F387" s="19"/>
      <c r="G387" s="18"/>
    </row>
    <row r="388" customFormat="false" ht="15" hidden="false" customHeight="false" outlineLevel="0" collapsed="false">
      <c r="C388" s="17"/>
      <c r="D388" s="18"/>
      <c r="E388" s="18"/>
      <c r="F388" s="19"/>
      <c r="G388" s="18"/>
    </row>
    <row r="389" customFormat="false" ht="15" hidden="false" customHeight="false" outlineLevel="0" collapsed="false">
      <c r="C389" s="17"/>
      <c r="D389" s="18"/>
      <c r="E389" s="18"/>
      <c r="F389" s="19"/>
      <c r="G389" s="18"/>
    </row>
    <row r="390" customFormat="false" ht="15" hidden="false" customHeight="false" outlineLevel="0" collapsed="false">
      <c r="C390" s="17"/>
      <c r="D390" s="18"/>
      <c r="E390" s="18"/>
      <c r="F390" s="19"/>
      <c r="G390" s="18"/>
    </row>
    <row r="391" customFormat="false" ht="15" hidden="false" customHeight="false" outlineLevel="0" collapsed="false">
      <c r="C391" s="17"/>
      <c r="D391" s="18"/>
      <c r="E391" s="18"/>
      <c r="F391" s="19"/>
      <c r="G391" s="18"/>
    </row>
    <row r="392" customFormat="false" ht="15" hidden="false" customHeight="false" outlineLevel="0" collapsed="false">
      <c r="C392" s="17"/>
      <c r="D392" s="18"/>
      <c r="E392" s="18"/>
      <c r="F392" s="19"/>
      <c r="G392" s="18"/>
    </row>
    <row r="393" customFormat="false" ht="15" hidden="false" customHeight="false" outlineLevel="0" collapsed="false">
      <c r="C393" s="17"/>
      <c r="D393" s="18"/>
      <c r="E393" s="18"/>
      <c r="F393" s="19"/>
      <c r="G393" s="18"/>
    </row>
    <row r="394" customFormat="false" ht="15" hidden="false" customHeight="false" outlineLevel="0" collapsed="false">
      <c r="C394" s="17"/>
      <c r="D394" s="18"/>
      <c r="E394" s="18"/>
      <c r="F394" s="19"/>
      <c r="G394" s="18"/>
    </row>
    <row r="395" customFormat="false" ht="15" hidden="false" customHeight="false" outlineLevel="0" collapsed="false">
      <c r="C395" s="17"/>
      <c r="D395" s="18"/>
      <c r="E395" s="18"/>
      <c r="F395" s="19"/>
      <c r="G395" s="18"/>
    </row>
    <row r="396" customFormat="false" ht="15" hidden="false" customHeight="false" outlineLevel="0" collapsed="false">
      <c r="C396" s="17"/>
      <c r="D396" s="18"/>
      <c r="E396" s="18"/>
      <c r="F396" s="19"/>
      <c r="G396" s="18"/>
    </row>
    <row r="397" customFormat="false" ht="15" hidden="false" customHeight="false" outlineLevel="0" collapsed="false">
      <c r="C397" s="17"/>
      <c r="D397" s="18"/>
      <c r="E397" s="18"/>
      <c r="F397" s="19"/>
      <c r="G397" s="18"/>
    </row>
    <row r="398" customFormat="false" ht="15" hidden="false" customHeight="false" outlineLevel="0" collapsed="false">
      <c r="C398" s="17"/>
      <c r="D398" s="18"/>
      <c r="E398" s="18"/>
      <c r="F398" s="19"/>
      <c r="G398" s="18"/>
    </row>
    <row r="399" customFormat="false" ht="15" hidden="false" customHeight="false" outlineLevel="0" collapsed="false">
      <c r="C399" s="17"/>
      <c r="D399" s="18"/>
      <c r="E399" s="18"/>
      <c r="F399" s="19"/>
      <c r="G399" s="18"/>
    </row>
    <row r="400" customFormat="false" ht="15" hidden="false" customHeight="false" outlineLevel="0" collapsed="false">
      <c r="C400" s="17"/>
      <c r="D400" s="18"/>
      <c r="E400" s="18"/>
      <c r="F400" s="19"/>
      <c r="G400" s="18"/>
    </row>
    <row r="401" customFormat="false" ht="15" hidden="false" customHeight="false" outlineLevel="0" collapsed="false">
      <c r="C401" s="17"/>
      <c r="D401" s="18"/>
      <c r="E401" s="18"/>
      <c r="F401" s="19"/>
      <c r="G401" s="18"/>
    </row>
    <row r="402" customFormat="false" ht="15" hidden="false" customHeight="false" outlineLevel="0" collapsed="false">
      <c r="C402" s="17"/>
      <c r="D402" s="18"/>
      <c r="E402" s="18"/>
      <c r="F402" s="19"/>
      <c r="G402" s="18"/>
    </row>
    <row r="403" customFormat="false" ht="15" hidden="false" customHeight="false" outlineLevel="0" collapsed="false">
      <c r="C403" s="17"/>
      <c r="D403" s="18"/>
      <c r="E403" s="18"/>
      <c r="F403" s="19"/>
      <c r="G403" s="18"/>
    </row>
    <row r="404" customFormat="false" ht="15" hidden="false" customHeight="false" outlineLevel="0" collapsed="false">
      <c r="C404" s="17"/>
      <c r="D404" s="18"/>
      <c r="E404" s="18"/>
      <c r="F404" s="19"/>
      <c r="G404" s="18"/>
    </row>
    <row r="405" customFormat="false" ht="15" hidden="false" customHeight="false" outlineLevel="0" collapsed="false">
      <c r="C405" s="17"/>
      <c r="D405" s="18"/>
      <c r="E405" s="18"/>
      <c r="F405" s="19"/>
      <c r="G405" s="18"/>
    </row>
    <row r="406" customFormat="false" ht="15" hidden="false" customHeight="false" outlineLevel="0" collapsed="false">
      <c r="C406" s="17"/>
      <c r="D406" s="18"/>
      <c r="E406" s="18"/>
      <c r="F406" s="19"/>
      <c r="G406" s="18"/>
    </row>
    <row r="407" customFormat="false" ht="15" hidden="false" customHeight="false" outlineLevel="0" collapsed="false">
      <c r="C407" s="17"/>
      <c r="D407" s="18"/>
      <c r="E407" s="18"/>
      <c r="F407" s="19"/>
      <c r="G407" s="18"/>
    </row>
  </sheetData>
  <autoFilter ref="C7:G407"/>
  <mergeCells count="2">
    <mergeCell ref="C1:J1"/>
    <mergeCell ref="C2:J2"/>
  </mergeCells>
  <dataValidations count="2">
    <dataValidation allowBlank="true" error="Escolha um procedimento da lista." errorStyle="stop" operator="between" showDropDown="false" showErrorMessage="false" showInputMessage="false" sqref="D8:D407" type="list">
      <formula1>Listas!$B$1:$B$6</formula1>
      <formula2>0</formula2>
    </dataValidation>
    <dataValidation allowBlank="true" error="Escolha uma forma de recebimento da lista." errorStyle="stop" operator="between" showDropDown="false" showErrorMessage="false" showInputMessage="false" sqref="E8:E407" type="list">
      <formula1>Listas!$C$1:$C$7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G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24" hidden="false" customHeight="true" outlineLevel="0" collapsed="false">
      <c r="C1" s="1" t="s">
        <v>43</v>
      </c>
      <c r="D1" s="1"/>
      <c r="E1" s="1"/>
      <c r="F1" s="1"/>
      <c r="G1" s="1"/>
    </row>
    <row r="2" customFormat="false" ht="15" hidden="false" customHeight="false" outlineLevel="0" collapsed="false">
      <c r="C2" s="2" t="s">
        <v>44</v>
      </c>
      <c r="D2" s="2"/>
      <c r="E2" s="2"/>
      <c r="F2" s="2"/>
      <c r="G2" s="2"/>
    </row>
    <row r="5" customFormat="false" ht="15" hidden="false" customHeight="false" outlineLevel="0" collapsed="false">
      <c r="C5" s="3" t="s">
        <v>45</v>
      </c>
      <c r="D5" s="20" t="n">
        <f aca="false">SUM($F$8:$F$207)</f>
        <v>0</v>
      </c>
    </row>
    <row r="7" customFormat="false" ht="21.75" hidden="false" customHeight="true" outlineLevel="0" collapsed="false">
      <c r="C7" s="16" t="s">
        <v>31</v>
      </c>
      <c r="D7" s="16" t="s">
        <v>46</v>
      </c>
      <c r="E7" s="16" t="s">
        <v>47</v>
      </c>
      <c r="F7" s="16" t="s">
        <v>41</v>
      </c>
      <c r="G7" s="16" t="s">
        <v>48</v>
      </c>
    </row>
    <row r="8" customFormat="false" ht="15" hidden="false" customHeight="false" outlineLevel="0" collapsed="false">
      <c r="C8" s="17"/>
      <c r="D8" s="18"/>
      <c r="E8" s="18"/>
      <c r="F8" s="19"/>
      <c r="G8" s="18"/>
    </row>
    <row r="9" customFormat="false" ht="15" hidden="false" customHeight="false" outlineLevel="0" collapsed="false">
      <c r="C9" s="17"/>
      <c r="D9" s="18"/>
      <c r="E9" s="18"/>
      <c r="F9" s="19"/>
      <c r="G9" s="18"/>
    </row>
    <row r="10" customFormat="false" ht="15" hidden="false" customHeight="false" outlineLevel="0" collapsed="false">
      <c r="C10" s="17"/>
      <c r="D10" s="18"/>
      <c r="E10" s="18"/>
      <c r="F10" s="19"/>
      <c r="G10" s="18"/>
    </row>
    <row r="11" customFormat="false" ht="15" hidden="false" customHeight="false" outlineLevel="0" collapsed="false">
      <c r="C11" s="17"/>
      <c r="D11" s="18"/>
      <c r="E11" s="18"/>
      <c r="F11" s="19"/>
      <c r="G11" s="18"/>
    </row>
    <row r="12" customFormat="false" ht="15" hidden="false" customHeight="false" outlineLevel="0" collapsed="false">
      <c r="C12" s="17"/>
      <c r="D12" s="18"/>
      <c r="E12" s="18"/>
      <c r="F12" s="19"/>
      <c r="G12" s="18"/>
    </row>
    <row r="13" customFormat="false" ht="15" hidden="false" customHeight="false" outlineLevel="0" collapsed="false">
      <c r="C13" s="17"/>
      <c r="D13" s="18"/>
      <c r="E13" s="18"/>
      <c r="F13" s="19"/>
      <c r="G13" s="18"/>
    </row>
    <row r="14" customFormat="false" ht="15" hidden="false" customHeight="false" outlineLevel="0" collapsed="false">
      <c r="C14" s="17"/>
      <c r="D14" s="18"/>
      <c r="E14" s="18"/>
      <c r="F14" s="19"/>
      <c r="G14" s="18"/>
    </row>
    <row r="15" customFormat="false" ht="15" hidden="false" customHeight="false" outlineLevel="0" collapsed="false">
      <c r="C15" s="17"/>
      <c r="D15" s="18"/>
      <c r="E15" s="18"/>
      <c r="F15" s="19"/>
      <c r="G15" s="18"/>
    </row>
    <row r="16" customFormat="false" ht="15" hidden="false" customHeight="false" outlineLevel="0" collapsed="false">
      <c r="C16" s="17"/>
      <c r="D16" s="18"/>
      <c r="E16" s="18"/>
      <c r="F16" s="19"/>
      <c r="G16" s="18"/>
    </row>
    <row r="17" customFormat="false" ht="15" hidden="false" customHeight="false" outlineLevel="0" collapsed="false">
      <c r="C17" s="17"/>
      <c r="D17" s="18"/>
      <c r="E17" s="18"/>
      <c r="F17" s="19"/>
      <c r="G17" s="18"/>
    </row>
    <row r="18" customFormat="false" ht="15" hidden="false" customHeight="false" outlineLevel="0" collapsed="false">
      <c r="C18" s="17"/>
      <c r="D18" s="18"/>
      <c r="E18" s="18"/>
      <c r="F18" s="19"/>
      <c r="G18" s="18"/>
    </row>
    <row r="19" customFormat="false" ht="15" hidden="false" customHeight="false" outlineLevel="0" collapsed="false">
      <c r="C19" s="17"/>
      <c r="D19" s="18"/>
      <c r="E19" s="18"/>
      <c r="F19" s="19"/>
      <c r="G19" s="18"/>
    </row>
    <row r="20" customFormat="false" ht="15" hidden="false" customHeight="false" outlineLevel="0" collapsed="false">
      <c r="C20" s="17"/>
      <c r="D20" s="18"/>
      <c r="E20" s="18"/>
      <c r="F20" s="19"/>
      <c r="G20" s="18"/>
    </row>
    <row r="21" customFormat="false" ht="15" hidden="false" customHeight="false" outlineLevel="0" collapsed="false">
      <c r="C21" s="17"/>
      <c r="D21" s="18"/>
      <c r="E21" s="18"/>
      <c r="F21" s="19"/>
      <c r="G21" s="18"/>
    </row>
    <row r="22" customFormat="false" ht="15" hidden="false" customHeight="false" outlineLevel="0" collapsed="false">
      <c r="C22" s="17"/>
      <c r="D22" s="18"/>
      <c r="E22" s="18"/>
      <c r="F22" s="19"/>
      <c r="G22" s="18"/>
    </row>
    <row r="23" customFormat="false" ht="15" hidden="false" customHeight="false" outlineLevel="0" collapsed="false">
      <c r="C23" s="17"/>
      <c r="D23" s="18"/>
      <c r="E23" s="18"/>
      <c r="F23" s="19"/>
      <c r="G23" s="18"/>
    </row>
    <row r="24" customFormat="false" ht="15" hidden="false" customHeight="false" outlineLevel="0" collapsed="false">
      <c r="C24" s="17"/>
      <c r="D24" s="18"/>
      <c r="E24" s="18"/>
      <c r="F24" s="19"/>
      <c r="G24" s="18"/>
    </row>
    <row r="25" customFormat="false" ht="15" hidden="false" customHeight="false" outlineLevel="0" collapsed="false">
      <c r="C25" s="17"/>
      <c r="D25" s="18"/>
      <c r="E25" s="18"/>
      <c r="F25" s="19"/>
      <c r="G25" s="18"/>
    </row>
    <row r="26" customFormat="false" ht="15" hidden="false" customHeight="false" outlineLevel="0" collapsed="false">
      <c r="C26" s="17"/>
      <c r="D26" s="18"/>
      <c r="E26" s="18"/>
      <c r="F26" s="19"/>
      <c r="G26" s="18"/>
    </row>
    <row r="27" customFormat="false" ht="15" hidden="false" customHeight="false" outlineLevel="0" collapsed="false">
      <c r="C27" s="17"/>
      <c r="D27" s="18"/>
      <c r="E27" s="18"/>
      <c r="F27" s="19"/>
      <c r="G27" s="18"/>
    </row>
    <row r="28" customFormat="false" ht="15" hidden="false" customHeight="false" outlineLevel="0" collapsed="false">
      <c r="C28" s="17"/>
      <c r="D28" s="18"/>
      <c r="E28" s="18"/>
      <c r="F28" s="19"/>
      <c r="G28" s="18"/>
    </row>
    <row r="29" customFormat="false" ht="15" hidden="false" customHeight="false" outlineLevel="0" collapsed="false">
      <c r="C29" s="17"/>
      <c r="D29" s="18"/>
      <c r="E29" s="18"/>
      <c r="F29" s="19"/>
      <c r="G29" s="18"/>
    </row>
    <row r="30" customFormat="false" ht="15" hidden="false" customHeight="false" outlineLevel="0" collapsed="false">
      <c r="C30" s="17"/>
      <c r="D30" s="18"/>
      <c r="E30" s="18"/>
      <c r="F30" s="19"/>
      <c r="G30" s="18"/>
    </row>
    <row r="31" customFormat="false" ht="15" hidden="false" customHeight="false" outlineLevel="0" collapsed="false">
      <c r="C31" s="17"/>
      <c r="D31" s="18"/>
      <c r="E31" s="18"/>
      <c r="F31" s="19"/>
      <c r="G31" s="18"/>
    </row>
    <row r="32" customFormat="false" ht="15" hidden="false" customHeight="false" outlineLevel="0" collapsed="false">
      <c r="C32" s="17"/>
      <c r="D32" s="18"/>
      <c r="E32" s="18"/>
      <c r="F32" s="19"/>
      <c r="G32" s="18"/>
    </row>
    <row r="33" customFormat="false" ht="15" hidden="false" customHeight="false" outlineLevel="0" collapsed="false">
      <c r="C33" s="17"/>
      <c r="D33" s="18"/>
      <c r="E33" s="18"/>
      <c r="F33" s="19"/>
      <c r="G33" s="18"/>
    </row>
    <row r="34" customFormat="false" ht="15" hidden="false" customHeight="false" outlineLevel="0" collapsed="false">
      <c r="C34" s="17"/>
      <c r="D34" s="18"/>
      <c r="E34" s="18"/>
      <c r="F34" s="19"/>
      <c r="G34" s="18"/>
    </row>
    <row r="35" customFormat="false" ht="15" hidden="false" customHeight="false" outlineLevel="0" collapsed="false">
      <c r="C35" s="17"/>
      <c r="D35" s="18"/>
      <c r="E35" s="18"/>
      <c r="F35" s="19"/>
      <c r="G35" s="18"/>
    </row>
    <row r="36" customFormat="false" ht="15" hidden="false" customHeight="false" outlineLevel="0" collapsed="false">
      <c r="C36" s="17"/>
      <c r="D36" s="18"/>
      <c r="E36" s="18"/>
      <c r="F36" s="19"/>
      <c r="G36" s="18"/>
    </row>
    <row r="37" customFormat="false" ht="15" hidden="false" customHeight="false" outlineLevel="0" collapsed="false">
      <c r="C37" s="17"/>
      <c r="D37" s="18"/>
      <c r="E37" s="18"/>
      <c r="F37" s="19"/>
      <c r="G37" s="18"/>
    </row>
    <row r="38" customFormat="false" ht="15" hidden="false" customHeight="false" outlineLevel="0" collapsed="false">
      <c r="C38" s="17"/>
      <c r="D38" s="18"/>
      <c r="E38" s="18"/>
      <c r="F38" s="19"/>
      <c r="G38" s="18"/>
    </row>
    <row r="39" customFormat="false" ht="15" hidden="false" customHeight="false" outlineLevel="0" collapsed="false">
      <c r="C39" s="17"/>
      <c r="D39" s="18"/>
      <c r="E39" s="18"/>
      <c r="F39" s="19"/>
      <c r="G39" s="18"/>
    </row>
    <row r="40" customFormat="false" ht="15" hidden="false" customHeight="false" outlineLevel="0" collapsed="false">
      <c r="C40" s="17"/>
      <c r="D40" s="18"/>
      <c r="E40" s="18"/>
      <c r="F40" s="19"/>
      <c r="G40" s="18"/>
    </row>
    <row r="41" customFormat="false" ht="15" hidden="false" customHeight="false" outlineLevel="0" collapsed="false">
      <c r="C41" s="17"/>
      <c r="D41" s="18"/>
      <c r="E41" s="18"/>
      <c r="F41" s="19"/>
      <c r="G41" s="18"/>
    </row>
    <row r="42" customFormat="false" ht="15" hidden="false" customHeight="false" outlineLevel="0" collapsed="false">
      <c r="C42" s="17"/>
      <c r="D42" s="18"/>
      <c r="E42" s="18"/>
      <c r="F42" s="19"/>
      <c r="G42" s="18"/>
    </row>
    <row r="43" customFormat="false" ht="15" hidden="false" customHeight="false" outlineLevel="0" collapsed="false">
      <c r="C43" s="17"/>
      <c r="D43" s="18"/>
      <c r="E43" s="18"/>
      <c r="F43" s="19"/>
      <c r="G43" s="18"/>
    </row>
    <row r="44" customFormat="false" ht="15" hidden="false" customHeight="false" outlineLevel="0" collapsed="false">
      <c r="C44" s="17"/>
      <c r="D44" s="18"/>
      <c r="E44" s="18"/>
      <c r="F44" s="19"/>
      <c r="G44" s="18"/>
    </row>
    <row r="45" customFormat="false" ht="15" hidden="false" customHeight="false" outlineLevel="0" collapsed="false">
      <c r="C45" s="17"/>
      <c r="D45" s="18"/>
      <c r="E45" s="18"/>
      <c r="F45" s="19"/>
      <c r="G45" s="18"/>
    </row>
    <row r="46" customFormat="false" ht="15" hidden="false" customHeight="false" outlineLevel="0" collapsed="false">
      <c r="C46" s="17"/>
      <c r="D46" s="18"/>
      <c r="E46" s="18"/>
      <c r="F46" s="19"/>
      <c r="G46" s="18"/>
    </row>
    <row r="47" customFormat="false" ht="15" hidden="false" customHeight="false" outlineLevel="0" collapsed="false">
      <c r="C47" s="17"/>
      <c r="D47" s="18"/>
      <c r="E47" s="18"/>
      <c r="F47" s="19"/>
      <c r="G47" s="18"/>
    </row>
    <row r="48" customFormat="false" ht="15" hidden="false" customHeight="false" outlineLevel="0" collapsed="false">
      <c r="C48" s="17"/>
      <c r="D48" s="18"/>
      <c r="E48" s="18"/>
      <c r="F48" s="19"/>
      <c r="G48" s="18"/>
    </row>
    <row r="49" customFormat="false" ht="15" hidden="false" customHeight="false" outlineLevel="0" collapsed="false">
      <c r="C49" s="17"/>
      <c r="D49" s="18"/>
      <c r="E49" s="18"/>
      <c r="F49" s="19"/>
      <c r="G49" s="18"/>
    </row>
    <row r="50" customFormat="false" ht="15" hidden="false" customHeight="false" outlineLevel="0" collapsed="false">
      <c r="C50" s="17"/>
      <c r="D50" s="18"/>
      <c r="E50" s="18"/>
      <c r="F50" s="19"/>
      <c r="G50" s="18"/>
    </row>
    <row r="51" customFormat="false" ht="15" hidden="false" customHeight="false" outlineLevel="0" collapsed="false">
      <c r="C51" s="17"/>
      <c r="D51" s="18"/>
      <c r="E51" s="18"/>
      <c r="F51" s="19"/>
      <c r="G51" s="18"/>
    </row>
    <row r="52" customFormat="false" ht="15" hidden="false" customHeight="false" outlineLevel="0" collapsed="false">
      <c r="C52" s="17"/>
      <c r="D52" s="18"/>
      <c r="E52" s="18"/>
      <c r="F52" s="19"/>
      <c r="G52" s="18"/>
    </row>
    <row r="53" customFormat="false" ht="15" hidden="false" customHeight="false" outlineLevel="0" collapsed="false">
      <c r="C53" s="17"/>
      <c r="D53" s="18"/>
      <c r="E53" s="18"/>
      <c r="F53" s="19"/>
      <c r="G53" s="18"/>
    </row>
    <row r="54" customFormat="false" ht="15" hidden="false" customHeight="false" outlineLevel="0" collapsed="false">
      <c r="C54" s="17"/>
      <c r="D54" s="18"/>
      <c r="E54" s="18"/>
      <c r="F54" s="19"/>
      <c r="G54" s="18"/>
    </row>
    <row r="55" customFormat="false" ht="15" hidden="false" customHeight="false" outlineLevel="0" collapsed="false">
      <c r="C55" s="17"/>
      <c r="D55" s="18"/>
      <c r="E55" s="18"/>
      <c r="F55" s="19"/>
      <c r="G55" s="18"/>
    </row>
    <row r="56" customFormat="false" ht="15" hidden="false" customHeight="false" outlineLevel="0" collapsed="false">
      <c r="C56" s="17"/>
      <c r="D56" s="18"/>
      <c r="E56" s="18"/>
      <c r="F56" s="19"/>
      <c r="G56" s="18"/>
    </row>
    <row r="57" customFormat="false" ht="15" hidden="false" customHeight="false" outlineLevel="0" collapsed="false">
      <c r="C57" s="17"/>
      <c r="D57" s="18"/>
      <c r="E57" s="18"/>
      <c r="F57" s="19"/>
      <c r="G57" s="18"/>
    </row>
    <row r="58" customFormat="false" ht="15" hidden="false" customHeight="false" outlineLevel="0" collapsed="false">
      <c r="C58" s="17"/>
      <c r="D58" s="18"/>
      <c r="E58" s="18"/>
      <c r="F58" s="19"/>
      <c r="G58" s="18"/>
    </row>
    <row r="59" customFormat="false" ht="15" hidden="false" customHeight="false" outlineLevel="0" collapsed="false">
      <c r="C59" s="17"/>
      <c r="D59" s="18"/>
      <c r="E59" s="18"/>
      <c r="F59" s="19"/>
      <c r="G59" s="18"/>
    </row>
    <row r="60" customFormat="false" ht="15" hidden="false" customHeight="false" outlineLevel="0" collapsed="false">
      <c r="C60" s="17"/>
      <c r="D60" s="18"/>
      <c r="E60" s="18"/>
      <c r="F60" s="19"/>
      <c r="G60" s="18"/>
    </row>
    <row r="61" customFormat="false" ht="15" hidden="false" customHeight="false" outlineLevel="0" collapsed="false">
      <c r="C61" s="17"/>
      <c r="D61" s="18"/>
      <c r="E61" s="18"/>
      <c r="F61" s="19"/>
      <c r="G61" s="18"/>
    </row>
    <row r="62" customFormat="false" ht="15" hidden="false" customHeight="false" outlineLevel="0" collapsed="false">
      <c r="C62" s="17"/>
      <c r="D62" s="18"/>
      <c r="E62" s="18"/>
      <c r="F62" s="19"/>
      <c r="G62" s="18"/>
    </row>
    <row r="63" customFormat="false" ht="15" hidden="false" customHeight="false" outlineLevel="0" collapsed="false">
      <c r="C63" s="17"/>
      <c r="D63" s="18"/>
      <c r="E63" s="18"/>
      <c r="F63" s="19"/>
      <c r="G63" s="18"/>
    </row>
    <row r="64" customFormat="false" ht="15" hidden="false" customHeight="false" outlineLevel="0" collapsed="false">
      <c r="C64" s="17"/>
      <c r="D64" s="18"/>
      <c r="E64" s="18"/>
      <c r="F64" s="19"/>
      <c r="G64" s="18"/>
    </row>
    <row r="65" customFormat="false" ht="15" hidden="false" customHeight="false" outlineLevel="0" collapsed="false">
      <c r="C65" s="17"/>
      <c r="D65" s="18"/>
      <c r="E65" s="18"/>
      <c r="F65" s="19"/>
      <c r="G65" s="18"/>
    </row>
    <row r="66" customFormat="false" ht="15" hidden="false" customHeight="false" outlineLevel="0" collapsed="false">
      <c r="C66" s="17"/>
      <c r="D66" s="18"/>
      <c r="E66" s="18"/>
      <c r="F66" s="19"/>
      <c r="G66" s="18"/>
    </row>
    <row r="67" customFormat="false" ht="15" hidden="false" customHeight="false" outlineLevel="0" collapsed="false">
      <c r="C67" s="17"/>
      <c r="D67" s="18"/>
      <c r="E67" s="18"/>
      <c r="F67" s="19"/>
      <c r="G67" s="18"/>
    </row>
    <row r="68" customFormat="false" ht="15" hidden="false" customHeight="false" outlineLevel="0" collapsed="false">
      <c r="C68" s="17"/>
      <c r="D68" s="18"/>
      <c r="E68" s="18"/>
      <c r="F68" s="19"/>
      <c r="G68" s="18"/>
    </row>
    <row r="69" customFormat="false" ht="15" hidden="false" customHeight="false" outlineLevel="0" collapsed="false">
      <c r="C69" s="17"/>
      <c r="D69" s="18"/>
      <c r="E69" s="18"/>
      <c r="F69" s="19"/>
      <c r="G69" s="18"/>
    </row>
    <row r="70" customFormat="false" ht="15" hidden="false" customHeight="false" outlineLevel="0" collapsed="false">
      <c r="C70" s="17"/>
      <c r="D70" s="18"/>
      <c r="E70" s="18"/>
      <c r="F70" s="19"/>
      <c r="G70" s="18"/>
    </row>
    <row r="71" customFormat="false" ht="15" hidden="false" customHeight="false" outlineLevel="0" collapsed="false">
      <c r="C71" s="17"/>
      <c r="D71" s="18"/>
      <c r="E71" s="18"/>
      <c r="F71" s="19"/>
      <c r="G71" s="18"/>
    </row>
    <row r="72" customFormat="false" ht="15" hidden="false" customHeight="false" outlineLevel="0" collapsed="false">
      <c r="C72" s="17"/>
      <c r="D72" s="18"/>
      <c r="E72" s="18"/>
      <c r="F72" s="19"/>
      <c r="G72" s="18"/>
    </row>
    <row r="73" customFormat="false" ht="15" hidden="false" customHeight="false" outlineLevel="0" collapsed="false">
      <c r="C73" s="17"/>
      <c r="D73" s="18"/>
      <c r="E73" s="18"/>
      <c r="F73" s="19"/>
      <c r="G73" s="18"/>
    </row>
    <row r="74" customFormat="false" ht="15" hidden="false" customHeight="false" outlineLevel="0" collapsed="false">
      <c r="C74" s="17"/>
      <c r="D74" s="18"/>
      <c r="E74" s="18"/>
      <c r="F74" s="19"/>
      <c r="G74" s="18"/>
    </row>
    <row r="75" customFormat="false" ht="15" hidden="false" customHeight="false" outlineLevel="0" collapsed="false">
      <c r="C75" s="17"/>
      <c r="D75" s="18"/>
      <c r="E75" s="18"/>
      <c r="F75" s="19"/>
      <c r="G75" s="18"/>
    </row>
    <row r="76" customFormat="false" ht="15" hidden="false" customHeight="false" outlineLevel="0" collapsed="false">
      <c r="C76" s="17"/>
      <c r="D76" s="18"/>
      <c r="E76" s="18"/>
      <c r="F76" s="19"/>
      <c r="G76" s="18"/>
    </row>
    <row r="77" customFormat="false" ht="15" hidden="false" customHeight="false" outlineLevel="0" collapsed="false">
      <c r="C77" s="17"/>
      <c r="D77" s="18"/>
      <c r="E77" s="18"/>
      <c r="F77" s="19"/>
      <c r="G77" s="18"/>
    </row>
    <row r="78" customFormat="false" ht="15" hidden="false" customHeight="false" outlineLevel="0" collapsed="false">
      <c r="C78" s="17"/>
      <c r="D78" s="18"/>
      <c r="E78" s="18"/>
      <c r="F78" s="19"/>
      <c r="G78" s="18"/>
    </row>
    <row r="79" customFormat="false" ht="15" hidden="false" customHeight="false" outlineLevel="0" collapsed="false">
      <c r="C79" s="17"/>
      <c r="D79" s="18"/>
      <c r="E79" s="18"/>
      <c r="F79" s="19"/>
      <c r="G79" s="18"/>
    </row>
    <row r="80" customFormat="false" ht="15" hidden="false" customHeight="false" outlineLevel="0" collapsed="false">
      <c r="C80" s="17"/>
      <c r="D80" s="18"/>
      <c r="E80" s="18"/>
      <c r="F80" s="19"/>
      <c r="G80" s="18"/>
    </row>
    <row r="81" customFormat="false" ht="15" hidden="false" customHeight="false" outlineLevel="0" collapsed="false">
      <c r="C81" s="17"/>
      <c r="D81" s="18"/>
      <c r="E81" s="18"/>
      <c r="F81" s="19"/>
      <c r="G81" s="18"/>
    </row>
    <row r="82" customFormat="false" ht="15" hidden="false" customHeight="false" outlineLevel="0" collapsed="false">
      <c r="C82" s="17"/>
      <c r="D82" s="18"/>
      <c r="E82" s="18"/>
      <c r="F82" s="19"/>
      <c r="G82" s="18"/>
    </row>
    <row r="83" customFormat="false" ht="15" hidden="false" customHeight="false" outlineLevel="0" collapsed="false">
      <c r="C83" s="17"/>
      <c r="D83" s="18"/>
      <c r="E83" s="18"/>
      <c r="F83" s="19"/>
      <c r="G83" s="18"/>
    </row>
    <row r="84" customFormat="false" ht="15" hidden="false" customHeight="false" outlineLevel="0" collapsed="false">
      <c r="C84" s="17"/>
      <c r="D84" s="18"/>
      <c r="E84" s="18"/>
      <c r="F84" s="19"/>
      <c r="G84" s="18"/>
    </row>
    <row r="85" customFormat="false" ht="15" hidden="false" customHeight="false" outlineLevel="0" collapsed="false">
      <c r="C85" s="17"/>
      <c r="D85" s="18"/>
      <c r="E85" s="18"/>
      <c r="F85" s="19"/>
      <c r="G85" s="18"/>
    </row>
    <row r="86" customFormat="false" ht="15" hidden="false" customHeight="false" outlineLevel="0" collapsed="false">
      <c r="C86" s="17"/>
      <c r="D86" s="18"/>
      <c r="E86" s="18"/>
      <c r="F86" s="19"/>
      <c r="G86" s="18"/>
    </row>
    <row r="87" customFormat="false" ht="15" hidden="false" customHeight="false" outlineLevel="0" collapsed="false">
      <c r="C87" s="17"/>
      <c r="D87" s="18"/>
      <c r="E87" s="18"/>
      <c r="F87" s="19"/>
      <c r="G87" s="18"/>
    </row>
    <row r="88" customFormat="false" ht="15" hidden="false" customHeight="false" outlineLevel="0" collapsed="false">
      <c r="C88" s="17"/>
      <c r="D88" s="18"/>
      <c r="E88" s="18"/>
      <c r="F88" s="19"/>
      <c r="G88" s="18"/>
    </row>
    <row r="89" customFormat="false" ht="15" hidden="false" customHeight="false" outlineLevel="0" collapsed="false">
      <c r="C89" s="17"/>
      <c r="D89" s="18"/>
      <c r="E89" s="18"/>
      <c r="F89" s="19"/>
      <c r="G89" s="18"/>
    </row>
    <row r="90" customFormat="false" ht="15" hidden="false" customHeight="false" outlineLevel="0" collapsed="false">
      <c r="C90" s="17"/>
      <c r="D90" s="18"/>
      <c r="E90" s="18"/>
      <c r="F90" s="19"/>
      <c r="G90" s="18"/>
    </row>
    <row r="91" customFormat="false" ht="15" hidden="false" customHeight="false" outlineLevel="0" collapsed="false">
      <c r="C91" s="17"/>
      <c r="D91" s="18"/>
      <c r="E91" s="18"/>
      <c r="F91" s="19"/>
      <c r="G91" s="18"/>
    </row>
    <row r="92" customFormat="false" ht="15" hidden="false" customHeight="false" outlineLevel="0" collapsed="false">
      <c r="C92" s="17"/>
      <c r="D92" s="18"/>
      <c r="E92" s="18"/>
      <c r="F92" s="19"/>
      <c r="G92" s="18"/>
    </row>
    <row r="93" customFormat="false" ht="15" hidden="false" customHeight="false" outlineLevel="0" collapsed="false">
      <c r="C93" s="17"/>
      <c r="D93" s="18"/>
      <c r="E93" s="18"/>
      <c r="F93" s="19"/>
      <c r="G93" s="18"/>
    </row>
    <row r="94" customFormat="false" ht="15" hidden="false" customHeight="false" outlineLevel="0" collapsed="false">
      <c r="C94" s="17"/>
      <c r="D94" s="18"/>
      <c r="E94" s="18"/>
      <c r="F94" s="19"/>
      <c r="G94" s="18"/>
    </row>
    <row r="95" customFormat="false" ht="15" hidden="false" customHeight="false" outlineLevel="0" collapsed="false">
      <c r="C95" s="17"/>
      <c r="D95" s="18"/>
      <c r="E95" s="18"/>
      <c r="F95" s="19"/>
      <c r="G95" s="18"/>
    </row>
    <row r="96" customFormat="false" ht="15" hidden="false" customHeight="false" outlineLevel="0" collapsed="false">
      <c r="C96" s="17"/>
      <c r="D96" s="18"/>
      <c r="E96" s="18"/>
      <c r="F96" s="19"/>
      <c r="G96" s="18"/>
    </row>
    <row r="97" customFormat="false" ht="15" hidden="false" customHeight="false" outlineLevel="0" collapsed="false">
      <c r="C97" s="17"/>
      <c r="D97" s="18"/>
      <c r="E97" s="18"/>
      <c r="F97" s="19"/>
      <c r="G97" s="18"/>
    </row>
    <row r="98" customFormat="false" ht="15" hidden="false" customHeight="false" outlineLevel="0" collapsed="false">
      <c r="C98" s="17"/>
      <c r="D98" s="18"/>
      <c r="E98" s="18"/>
      <c r="F98" s="19"/>
      <c r="G98" s="18"/>
    </row>
    <row r="99" customFormat="false" ht="15" hidden="false" customHeight="false" outlineLevel="0" collapsed="false">
      <c r="C99" s="17"/>
      <c r="D99" s="18"/>
      <c r="E99" s="18"/>
      <c r="F99" s="19"/>
      <c r="G99" s="18"/>
    </row>
    <row r="100" customFormat="false" ht="15" hidden="false" customHeight="false" outlineLevel="0" collapsed="false">
      <c r="C100" s="17"/>
      <c r="D100" s="18"/>
      <c r="E100" s="18"/>
      <c r="F100" s="19"/>
      <c r="G100" s="18"/>
    </row>
    <row r="101" customFormat="false" ht="15" hidden="false" customHeight="false" outlineLevel="0" collapsed="false">
      <c r="C101" s="17"/>
      <c r="D101" s="18"/>
      <c r="E101" s="18"/>
      <c r="F101" s="19"/>
      <c r="G101" s="18"/>
    </row>
    <row r="102" customFormat="false" ht="15" hidden="false" customHeight="false" outlineLevel="0" collapsed="false">
      <c r="C102" s="17"/>
      <c r="D102" s="18"/>
      <c r="E102" s="18"/>
      <c r="F102" s="19"/>
      <c r="G102" s="18"/>
    </row>
    <row r="103" customFormat="false" ht="15" hidden="false" customHeight="false" outlineLevel="0" collapsed="false">
      <c r="C103" s="17"/>
      <c r="D103" s="18"/>
      <c r="E103" s="18"/>
      <c r="F103" s="19"/>
      <c r="G103" s="18"/>
    </row>
    <row r="104" customFormat="false" ht="15" hidden="false" customHeight="false" outlineLevel="0" collapsed="false">
      <c r="C104" s="17"/>
      <c r="D104" s="18"/>
      <c r="E104" s="18"/>
      <c r="F104" s="19"/>
      <c r="G104" s="18"/>
    </row>
    <row r="105" customFormat="false" ht="15" hidden="false" customHeight="false" outlineLevel="0" collapsed="false">
      <c r="C105" s="17"/>
      <c r="D105" s="18"/>
      <c r="E105" s="18"/>
      <c r="F105" s="19"/>
      <c r="G105" s="18"/>
    </row>
    <row r="106" customFormat="false" ht="15" hidden="false" customHeight="false" outlineLevel="0" collapsed="false">
      <c r="C106" s="17"/>
      <c r="D106" s="18"/>
      <c r="E106" s="18"/>
      <c r="F106" s="19"/>
      <c r="G106" s="18"/>
    </row>
    <row r="107" customFormat="false" ht="15" hidden="false" customHeight="false" outlineLevel="0" collapsed="false">
      <c r="C107" s="17"/>
      <c r="D107" s="18"/>
      <c r="E107" s="18"/>
      <c r="F107" s="19"/>
      <c r="G107" s="18"/>
    </row>
    <row r="108" customFormat="false" ht="15" hidden="false" customHeight="false" outlineLevel="0" collapsed="false">
      <c r="C108" s="17"/>
      <c r="D108" s="18"/>
      <c r="E108" s="18"/>
      <c r="F108" s="19"/>
      <c r="G108" s="18"/>
    </row>
    <row r="109" customFormat="false" ht="15" hidden="false" customHeight="false" outlineLevel="0" collapsed="false">
      <c r="C109" s="17"/>
      <c r="D109" s="18"/>
      <c r="E109" s="18"/>
      <c r="F109" s="19"/>
      <c r="G109" s="18"/>
    </row>
    <row r="110" customFormat="false" ht="15" hidden="false" customHeight="false" outlineLevel="0" collapsed="false">
      <c r="C110" s="17"/>
      <c r="D110" s="18"/>
      <c r="E110" s="18"/>
      <c r="F110" s="19"/>
      <c r="G110" s="18"/>
    </row>
    <row r="111" customFormat="false" ht="15" hidden="false" customHeight="false" outlineLevel="0" collapsed="false">
      <c r="C111" s="17"/>
      <c r="D111" s="18"/>
      <c r="E111" s="18"/>
      <c r="F111" s="19"/>
      <c r="G111" s="18"/>
    </row>
    <row r="112" customFormat="false" ht="15" hidden="false" customHeight="false" outlineLevel="0" collapsed="false">
      <c r="C112" s="17"/>
      <c r="D112" s="18"/>
      <c r="E112" s="18"/>
      <c r="F112" s="19"/>
      <c r="G112" s="18"/>
    </row>
    <row r="113" customFormat="false" ht="15" hidden="false" customHeight="false" outlineLevel="0" collapsed="false">
      <c r="C113" s="17"/>
      <c r="D113" s="18"/>
      <c r="E113" s="18"/>
      <c r="F113" s="19"/>
      <c r="G113" s="18"/>
    </row>
    <row r="114" customFormat="false" ht="15" hidden="false" customHeight="false" outlineLevel="0" collapsed="false">
      <c r="C114" s="17"/>
      <c r="D114" s="18"/>
      <c r="E114" s="18"/>
      <c r="F114" s="19"/>
      <c r="G114" s="18"/>
    </row>
    <row r="115" customFormat="false" ht="15" hidden="false" customHeight="false" outlineLevel="0" collapsed="false">
      <c r="C115" s="17"/>
      <c r="D115" s="18"/>
      <c r="E115" s="18"/>
      <c r="F115" s="19"/>
      <c r="G115" s="18"/>
    </row>
    <row r="116" customFormat="false" ht="15" hidden="false" customHeight="false" outlineLevel="0" collapsed="false">
      <c r="C116" s="17"/>
      <c r="D116" s="18"/>
      <c r="E116" s="18"/>
      <c r="F116" s="19"/>
      <c r="G116" s="18"/>
    </row>
    <row r="117" customFormat="false" ht="15" hidden="false" customHeight="false" outlineLevel="0" collapsed="false">
      <c r="C117" s="17"/>
      <c r="D117" s="18"/>
      <c r="E117" s="18"/>
      <c r="F117" s="19"/>
      <c r="G117" s="18"/>
    </row>
    <row r="118" customFormat="false" ht="15" hidden="false" customHeight="false" outlineLevel="0" collapsed="false">
      <c r="C118" s="17"/>
      <c r="D118" s="18"/>
      <c r="E118" s="18"/>
      <c r="F118" s="19"/>
      <c r="G118" s="18"/>
    </row>
    <row r="119" customFormat="false" ht="15" hidden="false" customHeight="false" outlineLevel="0" collapsed="false">
      <c r="C119" s="17"/>
      <c r="D119" s="18"/>
      <c r="E119" s="18"/>
      <c r="F119" s="19"/>
      <c r="G119" s="18"/>
    </row>
    <row r="120" customFormat="false" ht="15" hidden="false" customHeight="false" outlineLevel="0" collapsed="false">
      <c r="C120" s="17"/>
      <c r="D120" s="18"/>
      <c r="E120" s="18"/>
      <c r="F120" s="19"/>
      <c r="G120" s="18"/>
    </row>
    <row r="121" customFormat="false" ht="15" hidden="false" customHeight="false" outlineLevel="0" collapsed="false">
      <c r="C121" s="17"/>
      <c r="D121" s="18"/>
      <c r="E121" s="18"/>
      <c r="F121" s="19"/>
      <c r="G121" s="18"/>
    </row>
    <row r="122" customFormat="false" ht="15" hidden="false" customHeight="false" outlineLevel="0" collapsed="false">
      <c r="C122" s="17"/>
      <c r="D122" s="18"/>
      <c r="E122" s="18"/>
      <c r="F122" s="19"/>
      <c r="G122" s="18"/>
    </row>
    <row r="123" customFormat="false" ht="15" hidden="false" customHeight="false" outlineLevel="0" collapsed="false">
      <c r="C123" s="17"/>
      <c r="D123" s="18"/>
      <c r="E123" s="18"/>
      <c r="F123" s="19"/>
      <c r="G123" s="18"/>
    </row>
    <row r="124" customFormat="false" ht="15" hidden="false" customHeight="false" outlineLevel="0" collapsed="false">
      <c r="C124" s="17"/>
      <c r="D124" s="18"/>
      <c r="E124" s="18"/>
      <c r="F124" s="19"/>
      <c r="G124" s="18"/>
    </row>
    <row r="125" customFormat="false" ht="15" hidden="false" customHeight="false" outlineLevel="0" collapsed="false">
      <c r="C125" s="17"/>
      <c r="D125" s="18"/>
      <c r="E125" s="18"/>
      <c r="F125" s="19"/>
      <c r="G125" s="18"/>
    </row>
    <row r="126" customFormat="false" ht="15" hidden="false" customHeight="false" outlineLevel="0" collapsed="false">
      <c r="C126" s="17"/>
      <c r="D126" s="18"/>
      <c r="E126" s="18"/>
      <c r="F126" s="19"/>
      <c r="G126" s="18"/>
    </row>
    <row r="127" customFormat="false" ht="15" hidden="false" customHeight="false" outlineLevel="0" collapsed="false">
      <c r="C127" s="17"/>
      <c r="D127" s="18"/>
      <c r="E127" s="18"/>
      <c r="F127" s="19"/>
      <c r="G127" s="18"/>
    </row>
    <row r="128" customFormat="false" ht="15" hidden="false" customHeight="false" outlineLevel="0" collapsed="false">
      <c r="C128" s="17"/>
      <c r="D128" s="18"/>
      <c r="E128" s="18"/>
      <c r="F128" s="19"/>
      <c r="G128" s="18"/>
    </row>
    <row r="129" customFormat="false" ht="15" hidden="false" customHeight="false" outlineLevel="0" collapsed="false">
      <c r="C129" s="17"/>
      <c r="D129" s="18"/>
      <c r="E129" s="18"/>
      <c r="F129" s="19"/>
      <c r="G129" s="18"/>
    </row>
    <row r="130" customFormat="false" ht="15" hidden="false" customHeight="false" outlineLevel="0" collapsed="false">
      <c r="C130" s="17"/>
      <c r="D130" s="18"/>
      <c r="E130" s="18"/>
      <c r="F130" s="19"/>
      <c r="G130" s="18"/>
    </row>
    <row r="131" customFormat="false" ht="15" hidden="false" customHeight="false" outlineLevel="0" collapsed="false">
      <c r="C131" s="17"/>
      <c r="D131" s="18"/>
      <c r="E131" s="18"/>
      <c r="F131" s="19"/>
      <c r="G131" s="18"/>
    </row>
    <row r="132" customFormat="false" ht="15" hidden="false" customHeight="false" outlineLevel="0" collapsed="false">
      <c r="C132" s="17"/>
      <c r="D132" s="18"/>
      <c r="E132" s="18"/>
      <c r="F132" s="19"/>
      <c r="G132" s="18"/>
    </row>
    <row r="133" customFormat="false" ht="15" hidden="false" customHeight="false" outlineLevel="0" collapsed="false">
      <c r="C133" s="17"/>
      <c r="D133" s="18"/>
      <c r="E133" s="18"/>
      <c r="F133" s="19"/>
      <c r="G133" s="18"/>
    </row>
    <row r="134" customFormat="false" ht="15" hidden="false" customHeight="false" outlineLevel="0" collapsed="false">
      <c r="C134" s="17"/>
      <c r="D134" s="18"/>
      <c r="E134" s="18"/>
      <c r="F134" s="19"/>
      <c r="G134" s="18"/>
    </row>
    <row r="135" customFormat="false" ht="15" hidden="false" customHeight="false" outlineLevel="0" collapsed="false">
      <c r="C135" s="17"/>
      <c r="D135" s="18"/>
      <c r="E135" s="18"/>
      <c r="F135" s="19"/>
      <c r="G135" s="18"/>
    </row>
    <row r="136" customFormat="false" ht="15" hidden="false" customHeight="false" outlineLevel="0" collapsed="false">
      <c r="C136" s="17"/>
      <c r="D136" s="18"/>
      <c r="E136" s="18"/>
      <c r="F136" s="19"/>
      <c r="G136" s="18"/>
    </row>
    <row r="137" customFormat="false" ht="15" hidden="false" customHeight="false" outlineLevel="0" collapsed="false">
      <c r="C137" s="17"/>
      <c r="D137" s="18"/>
      <c r="E137" s="18"/>
      <c r="F137" s="19"/>
      <c r="G137" s="18"/>
    </row>
    <row r="138" customFormat="false" ht="15" hidden="false" customHeight="false" outlineLevel="0" collapsed="false">
      <c r="C138" s="17"/>
      <c r="D138" s="18"/>
      <c r="E138" s="18"/>
      <c r="F138" s="19"/>
      <c r="G138" s="18"/>
    </row>
    <row r="139" customFormat="false" ht="15" hidden="false" customHeight="false" outlineLevel="0" collapsed="false">
      <c r="C139" s="17"/>
      <c r="D139" s="18"/>
      <c r="E139" s="18"/>
      <c r="F139" s="19"/>
      <c r="G139" s="18"/>
    </row>
    <row r="140" customFormat="false" ht="15" hidden="false" customHeight="false" outlineLevel="0" collapsed="false">
      <c r="C140" s="17"/>
      <c r="D140" s="18"/>
      <c r="E140" s="18"/>
      <c r="F140" s="19"/>
      <c r="G140" s="18"/>
    </row>
    <row r="141" customFormat="false" ht="15" hidden="false" customHeight="false" outlineLevel="0" collapsed="false">
      <c r="C141" s="17"/>
      <c r="D141" s="18"/>
      <c r="E141" s="18"/>
      <c r="F141" s="19"/>
      <c r="G141" s="18"/>
    </row>
    <row r="142" customFormat="false" ht="15" hidden="false" customHeight="false" outlineLevel="0" collapsed="false">
      <c r="C142" s="17"/>
      <c r="D142" s="18"/>
      <c r="E142" s="18"/>
      <c r="F142" s="19"/>
      <c r="G142" s="18"/>
    </row>
    <row r="143" customFormat="false" ht="15" hidden="false" customHeight="false" outlineLevel="0" collapsed="false">
      <c r="C143" s="17"/>
      <c r="D143" s="18"/>
      <c r="E143" s="18"/>
      <c r="F143" s="19"/>
      <c r="G143" s="18"/>
    </row>
    <row r="144" customFormat="false" ht="15" hidden="false" customHeight="false" outlineLevel="0" collapsed="false">
      <c r="C144" s="17"/>
      <c r="D144" s="18"/>
      <c r="E144" s="18"/>
      <c r="F144" s="19"/>
      <c r="G144" s="18"/>
    </row>
    <row r="145" customFormat="false" ht="15" hidden="false" customHeight="false" outlineLevel="0" collapsed="false">
      <c r="C145" s="17"/>
      <c r="D145" s="18"/>
      <c r="E145" s="18"/>
      <c r="F145" s="19"/>
      <c r="G145" s="18"/>
    </row>
    <row r="146" customFormat="false" ht="15" hidden="false" customHeight="false" outlineLevel="0" collapsed="false">
      <c r="C146" s="17"/>
      <c r="D146" s="18"/>
      <c r="E146" s="18"/>
      <c r="F146" s="19"/>
      <c r="G146" s="18"/>
    </row>
    <row r="147" customFormat="false" ht="15" hidden="false" customHeight="false" outlineLevel="0" collapsed="false">
      <c r="C147" s="17"/>
      <c r="D147" s="18"/>
      <c r="E147" s="18"/>
      <c r="F147" s="19"/>
      <c r="G147" s="18"/>
    </row>
    <row r="148" customFormat="false" ht="15" hidden="false" customHeight="false" outlineLevel="0" collapsed="false">
      <c r="C148" s="17"/>
      <c r="D148" s="18"/>
      <c r="E148" s="18"/>
      <c r="F148" s="19"/>
      <c r="G148" s="18"/>
    </row>
    <row r="149" customFormat="false" ht="15" hidden="false" customHeight="false" outlineLevel="0" collapsed="false">
      <c r="C149" s="17"/>
      <c r="D149" s="18"/>
      <c r="E149" s="18"/>
      <c r="F149" s="19"/>
      <c r="G149" s="18"/>
    </row>
    <row r="150" customFormat="false" ht="15" hidden="false" customHeight="false" outlineLevel="0" collapsed="false">
      <c r="C150" s="17"/>
      <c r="D150" s="18"/>
      <c r="E150" s="18"/>
      <c r="F150" s="19"/>
      <c r="G150" s="18"/>
    </row>
    <row r="151" customFormat="false" ht="15" hidden="false" customHeight="false" outlineLevel="0" collapsed="false">
      <c r="C151" s="17"/>
      <c r="D151" s="18"/>
      <c r="E151" s="18"/>
      <c r="F151" s="19"/>
      <c r="G151" s="18"/>
    </row>
    <row r="152" customFormat="false" ht="15" hidden="false" customHeight="false" outlineLevel="0" collapsed="false">
      <c r="C152" s="17"/>
      <c r="D152" s="18"/>
      <c r="E152" s="18"/>
      <c r="F152" s="19"/>
      <c r="G152" s="18"/>
    </row>
    <row r="153" customFormat="false" ht="15" hidden="false" customHeight="false" outlineLevel="0" collapsed="false">
      <c r="C153" s="17"/>
      <c r="D153" s="18"/>
      <c r="E153" s="18"/>
      <c r="F153" s="19"/>
      <c r="G153" s="18"/>
    </row>
    <row r="154" customFormat="false" ht="15" hidden="false" customHeight="false" outlineLevel="0" collapsed="false">
      <c r="C154" s="17"/>
      <c r="D154" s="18"/>
      <c r="E154" s="18"/>
      <c r="F154" s="19"/>
      <c r="G154" s="18"/>
    </row>
    <row r="155" customFormat="false" ht="15" hidden="false" customHeight="false" outlineLevel="0" collapsed="false">
      <c r="C155" s="17"/>
      <c r="D155" s="18"/>
      <c r="E155" s="18"/>
      <c r="F155" s="19"/>
      <c r="G155" s="18"/>
    </row>
    <row r="156" customFormat="false" ht="15" hidden="false" customHeight="false" outlineLevel="0" collapsed="false">
      <c r="C156" s="17"/>
      <c r="D156" s="18"/>
      <c r="E156" s="18"/>
      <c r="F156" s="19"/>
      <c r="G156" s="18"/>
    </row>
    <row r="157" customFormat="false" ht="15" hidden="false" customHeight="false" outlineLevel="0" collapsed="false">
      <c r="C157" s="17"/>
      <c r="D157" s="18"/>
      <c r="E157" s="18"/>
      <c r="F157" s="19"/>
      <c r="G157" s="18"/>
    </row>
    <row r="158" customFormat="false" ht="15" hidden="false" customHeight="false" outlineLevel="0" collapsed="false">
      <c r="C158" s="17"/>
      <c r="D158" s="18"/>
      <c r="E158" s="18"/>
      <c r="F158" s="19"/>
      <c r="G158" s="18"/>
    </row>
    <row r="159" customFormat="false" ht="15" hidden="false" customHeight="false" outlineLevel="0" collapsed="false">
      <c r="C159" s="17"/>
      <c r="D159" s="18"/>
      <c r="E159" s="18"/>
      <c r="F159" s="19"/>
      <c r="G159" s="18"/>
    </row>
    <row r="160" customFormat="false" ht="15" hidden="false" customHeight="false" outlineLevel="0" collapsed="false">
      <c r="C160" s="17"/>
      <c r="D160" s="18"/>
      <c r="E160" s="18"/>
      <c r="F160" s="19"/>
      <c r="G160" s="18"/>
    </row>
    <row r="161" customFormat="false" ht="15" hidden="false" customHeight="false" outlineLevel="0" collapsed="false">
      <c r="C161" s="17"/>
      <c r="D161" s="18"/>
      <c r="E161" s="18"/>
      <c r="F161" s="19"/>
      <c r="G161" s="18"/>
    </row>
    <row r="162" customFormat="false" ht="15" hidden="false" customHeight="false" outlineLevel="0" collapsed="false">
      <c r="C162" s="17"/>
      <c r="D162" s="18"/>
      <c r="E162" s="18"/>
      <c r="F162" s="19"/>
      <c r="G162" s="18"/>
    </row>
    <row r="163" customFormat="false" ht="15" hidden="false" customHeight="false" outlineLevel="0" collapsed="false">
      <c r="C163" s="17"/>
      <c r="D163" s="18"/>
      <c r="E163" s="18"/>
      <c r="F163" s="19"/>
      <c r="G163" s="18"/>
    </row>
    <row r="164" customFormat="false" ht="15" hidden="false" customHeight="false" outlineLevel="0" collapsed="false">
      <c r="C164" s="17"/>
      <c r="D164" s="18"/>
      <c r="E164" s="18"/>
      <c r="F164" s="19"/>
      <c r="G164" s="18"/>
    </row>
    <row r="165" customFormat="false" ht="15" hidden="false" customHeight="false" outlineLevel="0" collapsed="false">
      <c r="C165" s="17"/>
      <c r="D165" s="18"/>
      <c r="E165" s="18"/>
      <c r="F165" s="19"/>
      <c r="G165" s="18"/>
    </row>
    <row r="166" customFormat="false" ht="15" hidden="false" customHeight="false" outlineLevel="0" collapsed="false">
      <c r="C166" s="17"/>
      <c r="D166" s="18"/>
      <c r="E166" s="18"/>
      <c r="F166" s="19"/>
      <c r="G166" s="18"/>
    </row>
    <row r="167" customFormat="false" ht="15" hidden="false" customHeight="false" outlineLevel="0" collapsed="false">
      <c r="C167" s="17"/>
      <c r="D167" s="18"/>
      <c r="E167" s="18"/>
      <c r="F167" s="19"/>
      <c r="G167" s="18"/>
    </row>
    <row r="168" customFormat="false" ht="15" hidden="false" customHeight="false" outlineLevel="0" collapsed="false">
      <c r="C168" s="17"/>
      <c r="D168" s="18"/>
      <c r="E168" s="18"/>
      <c r="F168" s="19"/>
      <c r="G168" s="18"/>
    </row>
    <row r="169" customFormat="false" ht="15" hidden="false" customHeight="false" outlineLevel="0" collapsed="false">
      <c r="C169" s="17"/>
      <c r="D169" s="18"/>
      <c r="E169" s="18"/>
      <c r="F169" s="19"/>
      <c r="G169" s="18"/>
    </row>
    <row r="170" customFormat="false" ht="15" hidden="false" customHeight="false" outlineLevel="0" collapsed="false">
      <c r="C170" s="17"/>
      <c r="D170" s="18"/>
      <c r="E170" s="18"/>
      <c r="F170" s="19"/>
      <c r="G170" s="18"/>
    </row>
    <row r="171" customFormat="false" ht="15" hidden="false" customHeight="false" outlineLevel="0" collapsed="false">
      <c r="C171" s="17"/>
      <c r="D171" s="18"/>
      <c r="E171" s="18"/>
      <c r="F171" s="19"/>
      <c r="G171" s="18"/>
    </row>
    <row r="172" customFormat="false" ht="15" hidden="false" customHeight="false" outlineLevel="0" collapsed="false">
      <c r="C172" s="17"/>
      <c r="D172" s="18"/>
      <c r="E172" s="18"/>
      <c r="F172" s="19"/>
      <c r="G172" s="18"/>
    </row>
    <row r="173" customFormat="false" ht="15" hidden="false" customHeight="false" outlineLevel="0" collapsed="false">
      <c r="C173" s="17"/>
      <c r="D173" s="18"/>
      <c r="E173" s="18"/>
      <c r="F173" s="19"/>
      <c r="G173" s="18"/>
    </row>
    <row r="174" customFormat="false" ht="15" hidden="false" customHeight="false" outlineLevel="0" collapsed="false">
      <c r="C174" s="17"/>
      <c r="D174" s="18"/>
      <c r="E174" s="18"/>
      <c r="F174" s="19"/>
      <c r="G174" s="18"/>
    </row>
    <row r="175" customFormat="false" ht="15" hidden="false" customHeight="false" outlineLevel="0" collapsed="false">
      <c r="C175" s="17"/>
      <c r="D175" s="18"/>
      <c r="E175" s="18"/>
      <c r="F175" s="19"/>
      <c r="G175" s="18"/>
    </row>
    <row r="176" customFormat="false" ht="15" hidden="false" customHeight="false" outlineLevel="0" collapsed="false">
      <c r="C176" s="17"/>
      <c r="D176" s="18"/>
      <c r="E176" s="18"/>
      <c r="F176" s="19"/>
      <c r="G176" s="18"/>
    </row>
    <row r="177" customFormat="false" ht="15" hidden="false" customHeight="false" outlineLevel="0" collapsed="false">
      <c r="C177" s="17"/>
      <c r="D177" s="18"/>
      <c r="E177" s="18"/>
      <c r="F177" s="19"/>
      <c r="G177" s="18"/>
    </row>
    <row r="178" customFormat="false" ht="15" hidden="false" customHeight="false" outlineLevel="0" collapsed="false">
      <c r="C178" s="17"/>
      <c r="D178" s="18"/>
      <c r="E178" s="18"/>
      <c r="F178" s="19"/>
      <c r="G178" s="18"/>
    </row>
    <row r="179" customFormat="false" ht="15" hidden="false" customHeight="false" outlineLevel="0" collapsed="false">
      <c r="C179" s="17"/>
      <c r="D179" s="18"/>
      <c r="E179" s="18"/>
      <c r="F179" s="19"/>
      <c r="G179" s="18"/>
    </row>
    <row r="180" customFormat="false" ht="15" hidden="false" customHeight="false" outlineLevel="0" collapsed="false">
      <c r="C180" s="17"/>
      <c r="D180" s="18"/>
      <c r="E180" s="18"/>
      <c r="F180" s="19"/>
      <c r="G180" s="18"/>
    </row>
    <row r="181" customFormat="false" ht="15" hidden="false" customHeight="false" outlineLevel="0" collapsed="false">
      <c r="C181" s="17"/>
      <c r="D181" s="18"/>
      <c r="E181" s="18"/>
      <c r="F181" s="19"/>
      <c r="G181" s="18"/>
    </row>
    <row r="182" customFormat="false" ht="15" hidden="false" customHeight="false" outlineLevel="0" collapsed="false">
      <c r="C182" s="17"/>
      <c r="D182" s="18"/>
      <c r="E182" s="18"/>
      <c r="F182" s="19"/>
      <c r="G182" s="18"/>
    </row>
    <row r="183" customFormat="false" ht="15" hidden="false" customHeight="false" outlineLevel="0" collapsed="false">
      <c r="C183" s="17"/>
      <c r="D183" s="18"/>
      <c r="E183" s="18"/>
      <c r="F183" s="19"/>
      <c r="G183" s="18"/>
    </row>
    <row r="184" customFormat="false" ht="15" hidden="false" customHeight="false" outlineLevel="0" collapsed="false">
      <c r="C184" s="17"/>
      <c r="D184" s="18"/>
      <c r="E184" s="18"/>
      <c r="F184" s="19"/>
      <c r="G184" s="18"/>
    </row>
    <row r="185" customFormat="false" ht="15" hidden="false" customHeight="false" outlineLevel="0" collapsed="false">
      <c r="C185" s="17"/>
      <c r="D185" s="18"/>
      <c r="E185" s="18"/>
      <c r="F185" s="19"/>
      <c r="G185" s="18"/>
    </row>
    <row r="186" customFormat="false" ht="15" hidden="false" customHeight="false" outlineLevel="0" collapsed="false">
      <c r="C186" s="17"/>
      <c r="D186" s="18"/>
      <c r="E186" s="18"/>
      <c r="F186" s="19"/>
      <c r="G186" s="18"/>
    </row>
    <row r="187" customFormat="false" ht="15" hidden="false" customHeight="false" outlineLevel="0" collapsed="false">
      <c r="C187" s="17"/>
      <c r="D187" s="18"/>
      <c r="E187" s="18"/>
      <c r="F187" s="19"/>
      <c r="G187" s="18"/>
    </row>
    <row r="188" customFormat="false" ht="15" hidden="false" customHeight="false" outlineLevel="0" collapsed="false">
      <c r="C188" s="17"/>
      <c r="D188" s="18"/>
      <c r="E188" s="18"/>
      <c r="F188" s="19"/>
      <c r="G188" s="18"/>
    </row>
    <row r="189" customFormat="false" ht="15" hidden="false" customHeight="false" outlineLevel="0" collapsed="false">
      <c r="C189" s="17"/>
      <c r="D189" s="18"/>
      <c r="E189" s="18"/>
      <c r="F189" s="19"/>
      <c r="G189" s="18"/>
    </row>
    <row r="190" customFormat="false" ht="15" hidden="false" customHeight="false" outlineLevel="0" collapsed="false">
      <c r="C190" s="17"/>
      <c r="D190" s="18"/>
      <c r="E190" s="18"/>
      <c r="F190" s="19"/>
      <c r="G190" s="18"/>
    </row>
    <row r="191" customFormat="false" ht="15" hidden="false" customHeight="false" outlineLevel="0" collapsed="false">
      <c r="C191" s="17"/>
      <c r="D191" s="18"/>
      <c r="E191" s="18"/>
      <c r="F191" s="19"/>
      <c r="G191" s="18"/>
    </row>
    <row r="192" customFormat="false" ht="15" hidden="false" customHeight="false" outlineLevel="0" collapsed="false">
      <c r="C192" s="17"/>
      <c r="D192" s="18"/>
      <c r="E192" s="18"/>
      <c r="F192" s="19"/>
      <c r="G192" s="18"/>
    </row>
    <row r="193" customFormat="false" ht="15" hidden="false" customHeight="false" outlineLevel="0" collapsed="false">
      <c r="C193" s="17"/>
      <c r="D193" s="18"/>
      <c r="E193" s="18"/>
      <c r="F193" s="19"/>
      <c r="G193" s="18"/>
    </row>
    <row r="194" customFormat="false" ht="15" hidden="false" customHeight="false" outlineLevel="0" collapsed="false">
      <c r="C194" s="17"/>
      <c r="D194" s="18"/>
      <c r="E194" s="18"/>
      <c r="F194" s="19"/>
      <c r="G194" s="18"/>
    </row>
    <row r="195" customFormat="false" ht="15" hidden="false" customHeight="false" outlineLevel="0" collapsed="false">
      <c r="C195" s="17"/>
      <c r="D195" s="18"/>
      <c r="E195" s="18"/>
      <c r="F195" s="19"/>
      <c r="G195" s="18"/>
    </row>
    <row r="196" customFormat="false" ht="15" hidden="false" customHeight="false" outlineLevel="0" collapsed="false">
      <c r="C196" s="17"/>
      <c r="D196" s="18"/>
      <c r="E196" s="18"/>
      <c r="F196" s="19"/>
      <c r="G196" s="18"/>
    </row>
    <row r="197" customFormat="false" ht="15" hidden="false" customHeight="false" outlineLevel="0" collapsed="false">
      <c r="C197" s="17"/>
      <c r="D197" s="18"/>
      <c r="E197" s="18"/>
      <c r="F197" s="19"/>
      <c r="G197" s="18"/>
    </row>
    <row r="198" customFormat="false" ht="15" hidden="false" customHeight="false" outlineLevel="0" collapsed="false">
      <c r="C198" s="17"/>
      <c r="D198" s="18"/>
      <c r="E198" s="18"/>
      <c r="F198" s="19"/>
      <c r="G198" s="18"/>
    </row>
    <row r="199" customFormat="false" ht="15" hidden="false" customHeight="false" outlineLevel="0" collapsed="false">
      <c r="C199" s="17"/>
      <c r="D199" s="18"/>
      <c r="E199" s="18"/>
      <c r="F199" s="19"/>
      <c r="G199" s="18"/>
    </row>
    <row r="200" customFormat="false" ht="15" hidden="false" customHeight="false" outlineLevel="0" collapsed="false">
      <c r="C200" s="17"/>
      <c r="D200" s="18"/>
      <c r="E200" s="18"/>
      <c r="F200" s="19"/>
      <c r="G200" s="18"/>
    </row>
    <row r="201" customFormat="false" ht="15" hidden="false" customHeight="false" outlineLevel="0" collapsed="false">
      <c r="C201" s="17"/>
      <c r="D201" s="18"/>
      <c r="E201" s="18"/>
      <c r="F201" s="19"/>
      <c r="G201" s="18"/>
    </row>
    <row r="202" customFormat="false" ht="15" hidden="false" customHeight="false" outlineLevel="0" collapsed="false">
      <c r="C202" s="17"/>
      <c r="D202" s="18"/>
      <c r="E202" s="18"/>
      <c r="F202" s="19"/>
      <c r="G202" s="18"/>
    </row>
    <row r="203" customFormat="false" ht="15" hidden="false" customHeight="false" outlineLevel="0" collapsed="false">
      <c r="C203" s="17"/>
      <c r="D203" s="18"/>
      <c r="E203" s="18"/>
      <c r="F203" s="19"/>
      <c r="G203" s="18"/>
    </row>
    <row r="204" customFormat="false" ht="15" hidden="false" customHeight="false" outlineLevel="0" collapsed="false">
      <c r="C204" s="17"/>
      <c r="D204" s="18"/>
      <c r="E204" s="18"/>
      <c r="F204" s="19"/>
      <c r="G204" s="18"/>
    </row>
    <row r="205" customFormat="false" ht="15" hidden="false" customHeight="false" outlineLevel="0" collapsed="false">
      <c r="C205" s="17"/>
      <c r="D205" s="18"/>
      <c r="E205" s="18"/>
      <c r="F205" s="19"/>
      <c r="G205" s="18"/>
    </row>
    <row r="206" customFormat="false" ht="15" hidden="false" customHeight="false" outlineLevel="0" collapsed="false">
      <c r="C206" s="17"/>
      <c r="D206" s="18"/>
      <c r="E206" s="18"/>
      <c r="F206" s="19"/>
      <c r="G206" s="18"/>
    </row>
    <row r="207" customFormat="false" ht="15" hidden="false" customHeight="false" outlineLevel="0" collapsed="false">
      <c r="C207" s="17"/>
      <c r="D207" s="18"/>
      <c r="E207" s="18"/>
      <c r="F207" s="19"/>
      <c r="G207" s="18"/>
    </row>
  </sheetData>
  <autoFilter ref="C7:G207"/>
  <mergeCells count="2">
    <mergeCell ref="C1:G1"/>
    <mergeCell ref="C2:G2"/>
  </mergeCells>
  <dataValidations count="2">
    <dataValidation allowBlank="true" error="Escolha uma categoria da lista." errorStyle="stop" operator="between" showDropDown="false" showErrorMessage="false" showInputMessage="false" sqref="D8:D207" type="list">
      <formula1>Listas!$A$1:$A$12</formula1>
      <formula2>0</formula2>
    </dataValidation>
    <dataValidation allowBlank="true" errorStyle="stop" operator="between" showDropDown="false" showErrorMessage="false" showInputMessage="false" sqref="G8:G207" type="list">
      <formula1>"Pago,Pendente"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1" min="9" style="0" width="14"/>
  </cols>
  <sheetData>
    <row r="1" customFormat="false" ht="24" hidden="false" customHeight="true" outlineLevel="0" collapsed="false">
      <c r="C1" s="1" t="s">
        <v>49</v>
      </c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C2" s="2" t="s">
        <v>50</v>
      </c>
      <c r="D2" s="2"/>
      <c r="E2" s="2"/>
      <c r="F2" s="2"/>
      <c r="G2" s="2"/>
      <c r="H2" s="2"/>
      <c r="I2" s="2"/>
      <c r="J2" s="2"/>
      <c r="K2" s="2"/>
    </row>
    <row r="6" customFormat="false" ht="25.5" hidden="false" customHeight="true" outlineLevel="0" collapsed="false">
      <c r="C6" s="21" t="s">
        <v>31</v>
      </c>
      <c r="D6" s="21" t="s">
        <v>51</v>
      </c>
      <c r="E6" s="21" t="s">
        <v>33</v>
      </c>
      <c r="F6" s="21" t="s">
        <v>52</v>
      </c>
      <c r="G6" s="21" t="s">
        <v>53</v>
      </c>
      <c r="H6" s="21" t="s">
        <v>54</v>
      </c>
      <c r="I6" s="21" t="s">
        <v>55</v>
      </c>
      <c r="J6" s="21" t="s">
        <v>56</v>
      </c>
      <c r="K6" s="21" t="s">
        <v>57</v>
      </c>
    </row>
    <row r="7" customFormat="false" ht="15" hidden="false" customHeight="false" outlineLevel="0" collapsed="false">
      <c r="C7" s="22" t="n">
        <f aca="false">Calendário!C7</f>
        <v>46266</v>
      </c>
      <c r="D7" s="23" t="str">
        <f aca="false">Calendário!D7</f>
        <v>Sim</v>
      </c>
      <c r="E7" s="10" t="n">
        <f aca="false">Calendário!E7</f>
        <v>3000</v>
      </c>
      <c r="F7" s="24" t="n">
        <f aca="false">SUMPRODUCT((Movimento!$C$8:$C$407&lt;&gt;"")*(TEXT(Movimento!$C$8:$C$407,"yyyy-mm-dd")=TEXT($C7,"yyyy-mm-dd"))*Movimento!$F$8:$F$407)</f>
        <v>0</v>
      </c>
      <c r="G7" s="25" t="n">
        <f aca="false">IF($E7=0,"",IFERROR($F7/$E7,0))</f>
        <v>0</v>
      </c>
      <c r="H7" s="26" t="n">
        <f aca="false">IF(AND($E7&gt;0,$F7&gt;=$E7),1,0)</f>
        <v>0</v>
      </c>
      <c r="I7" s="24" t="n">
        <f aca="false">$F7</f>
        <v>0</v>
      </c>
      <c r="J7" s="10" t="n">
        <f aca="false">$E7</f>
        <v>3000</v>
      </c>
      <c r="K7" s="10" t="n">
        <f aca="false">I7-J7</f>
        <v>-3000</v>
      </c>
    </row>
    <row r="8" customFormat="false" ht="15" hidden="false" customHeight="false" outlineLevel="0" collapsed="false">
      <c r="C8" s="22" t="n">
        <f aca="false">Calendário!C8</f>
        <v>46267</v>
      </c>
      <c r="D8" s="23" t="str">
        <f aca="false">Calendário!D8</f>
        <v>Sim</v>
      </c>
      <c r="E8" s="10" t="n">
        <f aca="false">Calendário!E8</f>
        <v>3000</v>
      </c>
      <c r="F8" s="24" t="n">
        <f aca="false">SUMPRODUCT((Movimento!$C$8:$C$407&lt;&gt;"")*(TEXT(Movimento!$C$8:$C$407,"yyyy-mm-dd")=TEXT($C8,"yyyy-mm-dd"))*Movimento!$F$8:$F$407)</f>
        <v>0</v>
      </c>
      <c r="G8" s="25" t="n">
        <f aca="false">IF($E8=0,"",IFERROR($F8/$E8,0))</f>
        <v>0</v>
      </c>
      <c r="H8" s="26" t="n">
        <f aca="false">IF(AND($E8&gt;0,$F8&gt;=$E8),1,0)</f>
        <v>0</v>
      </c>
      <c r="I8" s="24" t="n">
        <f aca="false">I7+$F8</f>
        <v>0</v>
      </c>
      <c r="J8" s="10" t="n">
        <f aca="false">J7+$E8</f>
        <v>6000</v>
      </c>
      <c r="K8" s="10" t="n">
        <f aca="false">I8-J8</f>
        <v>-6000</v>
      </c>
    </row>
    <row r="9" customFormat="false" ht="15" hidden="false" customHeight="false" outlineLevel="0" collapsed="false">
      <c r="C9" s="22" t="n">
        <f aca="false">Calendário!C9</f>
        <v>46268</v>
      </c>
      <c r="D9" s="23" t="str">
        <f aca="false">Calendário!D9</f>
        <v>Sim</v>
      </c>
      <c r="E9" s="10" t="n">
        <f aca="false">Calendário!E9</f>
        <v>3000</v>
      </c>
      <c r="F9" s="24" t="n">
        <f aca="false">SUMPRODUCT((Movimento!$C$8:$C$407&lt;&gt;"")*(TEXT(Movimento!$C$8:$C$407,"yyyy-mm-dd")=TEXT($C9,"yyyy-mm-dd"))*Movimento!$F$8:$F$407)</f>
        <v>0</v>
      </c>
      <c r="G9" s="25" t="n">
        <f aca="false">IF($E9=0,"",IFERROR($F9/$E9,0))</f>
        <v>0</v>
      </c>
      <c r="H9" s="26" t="n">
        <f aca="false">IF(AND($E9&gt;0,$F9&gt;=$E9),1,0)</f>
        <v>0</v>
      </c>
      <c r="I9" s="24" t="n">
        <f aca="false">I8+$F9</f>
        <v>0</v>
      </c>
      <c r="J9" s="10" t="n">
        <f aca="false">J8+$E9</f>
        <v>9000</v>
      </c>
      <c r="K9" s="10" t="n">
        <f aca="false">I9-J9</f>
        <v>-9000</v>
      </c>
    </row>
    <row r="10" customFormat="false" ht="15" hidden="false" customHeight="false" outlineLevel="0" collapsed="false">
      <c r="C10" s="22" t="n">
        <f aca="false">Calendário!C10</f>
        <v>46269</v>
      </c>
      <c r="D10" s="23" t="str">
        <f aca="false">Calendário!D10</f>
        <v>Sim</v>
      </c>
      <c r="E10" s="10" t="n">
        <f aca="false">Calendário!E10</f>
        <v>3000</v>
      </c>
      <c r="F10" s="24" t="n">
        <f aca="false">SUMPRODUCT((Movimento!$C$8:$C$407&lt;&gt;"")*(TEXT(Movimento!$C$8:$C$407,"yyyy-mm-dd")=TEXT($C10,"yyyy-mm-dd"))*Movimento!$F$8:$F$407)</f>
        <v>0</v>
      </c>
      <c r="G10" s="25" t="n">
        <f aca="false">IF($E10=0,"",IFERROR($F10/$E10,0))</f>
        <v>0</v>
      </c>
      <c r="H10" s="26" t="n">
        <f aca="false">IF(AND($E10&gt;0,$F10&gt;=$E10),1,0)</f>
        <v>0</v>
      </c>
      <c r="I10" s="24" t="n">
        <f aca="false">I9+$F10</f>
        <v>0</v>
      </c>
      <c r="J10" s="10" t="n">
        <f aca="false">J9+$E10</f>
        <v>12000</v>
      </c>
      <c r="K10" s="10" t="n">
        <f aca="false">I10-J10</f>
        <v>-12000</v>
      </c>
    </row>
    <row r="11" customFormat="false" ht="15" hidden="false" customHeight="false" outlineLevel="0" collapsed="false">
      <c r="C11" s="22" t="n">
        <f aca="false">Calendário!C11</f>
        <v>46270</v>
      </c>
      <c r="D11" s="23" t="str">
        <f aca="false">Calendário!D11</f>
        <v>Sim</v>
      </c>
      <c r="E11" s="10" t="n">
        <f aca="false">Calendário!E11</f>
        <v>3000</v>
      </c>
      <c r="F11" s="24" t="n">
        <f aca="false">SUMPRODUCT((Movimento!$C$8:$C$407&lt;&gt;"")*(TEXT(Movimento!$C$8:$C$407,"yyyy-mm-dd")=TEXT($C11,"yyyy-mm-dd"))*Movimento!$F$8:$F$407)</f>
        <v>0</v>
      </c>
      <c r="G11" s="25" t="n">
        <f aca="false">IF($E11=0,"",IFERROR($F11/$E11,0))</f>
        <v>0</v>
      </c>
      <c r="H11" s="26" t="n">
        <f aca="false">IF(AND($E11&gt;0,$F11&gt;=$E11),1,0)</f>
        <v>0</v>
      </c>
      <c r="I11" s="24" t="n">
        <f aca="false">I10+$F11</f>
        <v>0</v>
      </c>
      <c r="J11" s="10" t="n">
        <f aca="false">J10+$E11</f>
        <v>15000</v>
      </c>
      <c r="K11" s="10" t="n">
        <f aca="false">I11-J11</f>
        <v>-15000</v>
      </c>
    </row>
    <row r="12" customFormat="false" ht="15" hidden="false" customHeight="false" outlineLevel="0" collapsed="false">
      <c r="C12" s="22" t="n">
        <f aca="false">Calendário!C12</f>
        <v>46271</v>
      </c>
      <c r="D12" s="23" t="str">
        <f aca="false">Calendário!D12</f>
        <v>Não</v>
      </c>
      <c r="E12" s="10" t="n">
        <f aca="false">Calendário!E12</f>
        <v>0</v>
      </c>
      <c r="F12" s="24" t="n">
        <f aca="false">SUMPRODUCT((Movimento!$C$8:$C$407&lt;&gt;"")*(TEXT(Movimento!$C$8:$C$407,"yyyy-mm-dd")=TEXT($C12,"yyyy-mm-dd"))*Movimento!$F$8:$F$407)</f>
        <v>0</v>
      </c>
      <c r="G12" s="25" t="str">
        <f aca="false">IF($E12=0,"",IFERROR($F12/$E12,0))</f>
        <v/>
      </c>
      <c r="H12" s="26" t="n">
        <f aca="false">IF(AND($E12&gt;0,$F12&gt;=$E12),1,0)</f>
        <v>0</v>
      </c>
      <c r="I12" s="24" t="n">
        <f aca="false">I11+$F12</f>
        <v>0</v>
      </c>
      <c r="J12" s="10" t="n">
        <f aca="false">J11+$E12</f>
        <v>15000</v>
      </c>
      <c r="K12" s="10" t="n">
        <f aca="false">I12-J12</f>
        <v>-15000</v>
      </c>
    </row>
    <row r="13" customFormat="false" ht="15" hidden="false" customHeight="false" outlineLevel="0" collapsed="false">
      <c r="C13" s="22" t="n">
        <f aca="false">Calendário!C13</f>
        <v>46272</v>
      </c>
      <c r="D13" s="23" t="str">
        <f aca="false">Calendário!D13</f>
        <v>Sim</v>
      </c>
      <c r="E13" s="10" t="n">
        <f aca="false">Calendário!E13</f>
        <v>3000</v>
      </c>
      <c r="F13" s="24" t="n">
        <f aca="false">SUMPRODUCT((Movimento!$C$8:$C$407&lt;&gt;"")*(TEXT(Movimento!$C$8:$C$407,"yyyy-mm-dd")=TEXT($C13,"yyyy-mm-dd"))*Movimento!$F$8:$F$407)</f>
        <v>0</v>
      </c>
      <c r="G13" s="25" t="n">
        <f aca="false">IF($E13=0,"",IFERROR($F13/$E13,0))</f>
        <v>0</v>
      </c>
      <c r="H13" s="26" t="n">
        <f aca="false">IF(AND($E13&gt;0,$F13&gt;=$E13),1,0)</f>
        <v>0</v>
      </c>
      <c r="I13" s="24" t="n">
        <f aca="false">I12+$F13</f>
        <v>0</v>
      </c>
      <c r="J13" s="10" t="n">
        <f aca="false">J12+$E13</f>
        <v>18000</v>
      </c>
      <c r="K13" s="10" t="n">
        <f aca="false">I13-J13</f>
        <v>-18000</v>
      </c>
    </row>
    <row r="14" customFormat="false" ht="15" hidden="false" customHeight="false" outlineLevel="0" collapsed="false">
      <c r="C14" s="22" t="n">
        <f aca="false">Calendário!C14</f>
        <v>46273</v>
      </c>
      <c r="D14" s="23" t="str">
        <f aca="false">Calendário!D14</f>
        <v>Sim</v>
      </c>
      <c r="E14" s="10" t="n">
        <f aca="false">Calendário!E14</f>
        <v>3000</v>
      </c>
      <c r="F14" s="24" t="n">
        <f aca="false">SUMPRODUCT((Movimento!$C$8:$C$407&lt;&gt;"")*(TEXT(Movimento!$C$8:$C$407,"yyyy-mm-dd")=TEXT($C14,"yyyy-mm-dd"))*Movimento!$F$8:$F$407)</f>
        <v>0</v>
      </c>
      <c r="G14" s="25" t="n">
        <f aca="false">IF($E14=0,"",IFERROR($F14/$E14,0))</f>
        <v>0</v>
      </c>
      <c r="H14" s="26" t="n">
        <f aca="false">IF(AND($E14&gt;0,$F14&gt;=$E14),1,0)</f>
        <v>0</v>
      </c>
      <c r="I14" s="24" t="n">
        <f aca="false">I13+$F14</f>
        <v>0</v>
      </c>
      <c r="J14" s="10" t="n">
        <f aca="false">J13+$E14</f>
        <v>21000</v>
      </c>
      <c r="K14" s="10" t="n">
        <f aca="false">I14-J14</f>
        <v>-21000</v>
      </c>
    </row>
    <row r="15" customFormat="false" ht="15" hidden="false" customHeight="false" outlineLevel="0" collapsed="false">
      <c r="C15" s="22" t="n">
        <f aca="false">Calendário!C15</f>
        <v>46274</v>
      </c>
      <c r="D15" s="23" t="str">
        <f aca="false">Calendário!D15</f>
        <v>Sim</v>
      </c>
      <c r="E15" s="10" t="n">
        <f aca="false">Calendário!E15</f>
        <v>3000</v>
      </c>
      <c r="F15" s="24" t="n">
        <f aca="false">SUMPRODUCT((Movimento!$C$8:$C$407&lt;&gt;"")*(TEXT(Movimento!$C$8:$C$407,"yyyy-mm-dd")=TEXT($C15,"yyyy-mm-dd"))*Movimento!$F$8:$F$407)</f>
        <v>0</v>
      </c>
      <c r="G15" s="25" t="n">
        <f aca="false">IF($E15=0,"",IFERROR($F15/$E15,0))</f>
        <v>0</v>
      </c>
      <c r="H15" s="26" t="n">
        <f aca="false">IF(AND($E15&gt;0,$F15&gt;=$E15),1,0)</f>
        <v>0</v>
      </c>
      <c r="I15" s="24" t="n">
        <f aca="false">I14+$F15</f>
        <v>0</v>
      </c>
      <c r="J15" s="10" t="n">
        <f aca="false">J14+$E15</f>
        <v>24000</v>
      </c>
      <c r="K15" s="10" t="n">
        <f aca="false">I15-J15</f>
        <v>-24000</v>
      </c>
    </row>
    <row r="16" customFormat="false" ht="15" hidden="false" customHeight="false" outlineLevel="0" collapsed="false">
      <c r="C16" s="22" t="n">
        <f aca="false">Calendário!C16</f>
        <v>46275</v>
      </c>
      <c r="D16" s="23" t="str">
        <f aca="false">Calendário!D16</f>
        <v>Sim</v>
      </c>
      <c r="E16" s="10" t="n">
        <f aca="false">Calendário!E16</f>
        <v>3000</v>
      </c>
      <c r="F16" s="24" t="n">
        <f aca="false">SUMPRODUCT((Movimento!$C$8:$C$407&lt;&gt;"")*(TEXT(Movimento!$C$8:$C$407,"yyyy-mm-dd")=TEXT($C16,"yyyy-mm-dd"))*Movimento!$F$8:$F$407)</f>
        <v>0</v>
      </c>
      <c r="G16" s="25" t="n">
        <f aca="false">IF($E16=0,"",IFERROR($F16/$E16,0))</f>
        <v>0</v>
      </c>
      <c r="H16" s="26" t="n">
        <f aca="false">IF(AND($E16&gt;0,$F16&gt;=$E16),1,0)</f>
        <v>0</v>
      </c>
      <c r="I16" s="24" t="n">
        <f aca="false">I15+$F16</f>
        <v>0</v>
      </c>
      <c r="J16" s="10" t="n">
        <f aca="false">J15+$E16</f>
        <v>27000</v>
      </c>
      <c r="K16" s="10" t="n">
        <f aca="false">I16-J16</f>
        <v>-27000</v>
      </c>
    </row>
    <row r="17" customFormat="false" ht="15" hidden="false" customHeight="false" outlineLevel="0" collapsed="false">
      <c r="C17" s="22" t="n">
        <f aca="false">Calendário!C17</f>
        <v>46276</v>
      </c>
      <c r="D17" s="23" t="str">
        <f aca="false">Calendário!D17</f>
        <v>Sim</v>
      </c>
      <c r="E17" s="10" t="n">
        <f aca="false">Calendário!E17</f>
        <v>3000</v>
      </c>
      <c r="F17" s="24" t="n">
        <f aca="false">SUMPRODUCT((Movimento!$C$8:$C$407&lt;&gt;"")*(TEXT(Movimento!$C$8:$C$407,"yyyy-mm-dd")=TEXT($C17,"yyyy-mm-dd"))*Movimento!$F$8:$F$407)</f>
        <v>0</v>
      </c>
      <c r="G17" s="25" t="n">
        <f aca="false">IF($E17=0,"",IFERROR($F17/$E17,0))</f>
        <v>0</v>
      </c>
      <c r="H17" s="26" t="n">
        <f aca="false">IF(AND($E17&gt;0,$F17&gt;=$E17),1,0)</f>
        <v>0</v>
      </c>
      <c r="I17" s="24" t="n">
        <f aca="false">I16+$F17</f>
        <v>0</v>
      </c>
      <c r="J17" s="10" t="n">
        <f aca="false">J16+$E17</f>
        <v>30000</v>
      </c>
      <c r="K17" s="10" t="n">
        <f aca="false">I17-J17</f>
        <v>-30000</v>
      </c>
    </row>
    <row r="18" customFormat="false" ht="15" hidden="false" customHeight="false" outlineLevel="0" collapsed="false">
      <c r="C18" s="22" t="n">
        <f aca="false">Calendário!C18</f>
        <v>46277</v>
      </c>
      <c r="D18" s="23" t="str">
        <f aca="false">Calendário!D18</f>
        <v>Sim</v>
      </c>
      <c r="E18" s="10" t="n">
        <f aca="false">Calendário!E18</f>
        <v>3000</v>
      </c>
      <c r="F18" s="24" t="n">
        <f aca="false">SUMPRODUCT((Movimento!$C$8:$C$407&lt;&gt;"")*(TEXT(Movimento!$C$8:$C$407,"yyyy-mm-dd")=TEXT($C18,"yyyy-mm-dd"))*Movimento!$F$8:$F$407)</f>
        <v>0</v>
      </c>
      <c r="G18" s="25" t="n">
        <f aca="false">IF($E18=0,"",IFERROR($F18/$E18,0))</f>
        <v>0</v>
      </c>
      <c r="H18" s="26" t="n">
        <f aca="false">IF(AND($E18&gt;0,$F18&gt;=$E18),1,0)</f>
        <v>0</v>
      </c>
      <c r="I18" s="24" t="n">
        <f aca="false">I17+$F18</f>
        <v>0</v>
      </c>
      <c r="J18" s="10" t="n">
        <f aca="false">J17+$E18</f>
        <v>33000</v>
      </c>
      <c r="K18" s="10" t="n">
        <f aca="false">I18-J18</f>
        <v>-33000</v>
      </c>
    </row>
    <row r="19" customFormat="false" ht="15" hidden="false" customHeight="false" outlineLevel="0" collapsed="false">
      <c r="C19" s="22" t="n">
        <f aca="false">Calendário!C19</f>
        <v>46278</v>
      </c>
      <c r="D19" s="23" t="str">
        <f aca="false">Calendário!D19</f>
        <v>Não</v>
      </c>
      <c r="E19" s="10" t="n">
        <f aca="false">Calendário!E19</f>
        <v>0</v>
      </c>
      <c r="F19" s="24" t="n">
        <f aca="false">SUMPRODUCT((Movimento!$C$8:$C$407&lt;&gt;"")*(TEXT(Movimento!$C$8:$C$407,"yyyy-mm-dd")=TEXT($C19,"yyyy-mm-dd"))*Movimento!$F$8:$F$407)</f>
        <v>0</v>
      </c>
      <c r="G19" s="25" t="str">
        <f aca="false">IF($E19=0,"",IFERROR($F19/$E19,0))</f>
        <v/>
      </c>
      <c r="H19" s="26" t="n">
        <f aca="false">IF(AND($E19&gt;0,$F19&gt;=$E19),1,0)</f>
        <v>0</v>
      </c>
      <c r="I19" s="24" t="n">
        <f aca="false">I18+$F19</f>
        <v>0</v>
      </c>
      <c r="J19" s="10" t="n">
        <f aca="false">J18+$E19</f>
        <v>33000</v>
      </c>
      <c r="K19" s="10" t="n">
        <f aca="false">I19-J19</f>
        <v>-33000</v>
      </c>
    </row>
    <row r="20" customFormat="false" ht="15" hidden="false" customHeight="false" outlineLevel="0" collapsed="false">
      <c r="C20" s="22" t="n">
        <f aca="false">Calendário!C20</f>
        <v>46279</v>
      </c>
      <c r="D20" s="23" t="str">
        <f aca="false">Calendário!D20</f>
        <v>Sim</v>
      </c>
      <c r="E20" s="10" t="n">
        <f aca="false">Calendário!E20</f>
        <v>3000</v>
      </c>
      <c r="F20" s="24" t="n">
        <f aca="false">SUMPRODUCT((Movimento!$C$8:$C$407&lt;&gt;"")*(TEXT(Movimento!$C$8:$C$407,"yyyy-mm-dd")=TEXT($C20,"yyyy-mm-dd"))*Movimento!$F$8:$F$407)</f>
        <v>0</v>
      </c>
      <c r="G20" s="25" t="n">
        <f aca="false">IF($E20=0,"",IFERROR($F20/$E20,0))</f>
        <v>0</v>
      </c>
      <c r="H20" s="26" t="n">
        <f aca="false">IF(AND($E20&gt;0,$F20&gt;=$E20),1,0)</f>
        <v>0</v>
      </c>
      <c r="I20" s="24" t="n">
        <f aca="false">I19+$F20</f>
        <v>0</v>
      </c>
      <c r="J20" s="10" t="n">
        <f aca="false">J19+$E20</f>
        <v>36000</v>
      </c>
      <c r="K20" s="10" t="n">
        <f aca="false">I20-J20</f>
        <v>-36000</v>
      </c>
    </row>
    <row r="21" customFormat="false" ht="15" hidden="false" customHeight="false" outlineLevel="0" collapsed="false">
      <c r="C21" s="22" t="n">
        <f aca="false">Calendário!C21</f>
        <v>46280</v>
      </c>
      <c r="D21" s="23" t="str">
        <f aca="false">Calendário!D21</f>
        <v>Sim</v>
      </c>
      <c r="E21" s="10" t="n">
        <f aca="false">Calendário!E21</f>
        <v>3000</v>
      </c>
      <c r="F21" s="24" t="n">
        <f aca="false">SUMPRODUCT((Movimento!$C$8:$C$407&lt;&gt;"")*(TEXT(Movimento!$C$8:$C$407,"yyyy-mm-dd")=TEXT($C21,"yyyy-mm-dd"))*Movimento!$F$8:$F$407)</f>
        <v>0</v>
      </c>
      <c r="G21" s="25" t="n">
        <f aca="false">IF($E21=0,"",IFERROR($F21/$E21,0))</f>
        <v>0</v>
      </c>
      <c r="H21" s="26" t="n">
        <f aca="false">IF(AND($E21&gt;0,$F21&gt;=$E21),1,0)</f>
        <v>0</v>
      </c>
      <c r="I21" s="24" t="n">
        <f aca="false">I20+$F21</f>
        <v>0</v>
      </c>
      <c r="J21" s="10" t="n">
        <f aca="false">J20+$E21</f>
        <v>39000</v>
      </c>
      <c r="K21" s="10" t="n">
        <f aca="false">I21-J21</f>
        <v>-39000</v>
      </c>
    </row>
    <row r="22" customFormat="false" ht="15" hidden="false" customHeight="false" outlineLevel="0" collapsed="false">
      <c r="C22" s="22" t="n">
        <f aca="false">Calendário!C22</f>
        <v>46281</v>
      </c>
      <c r="D22" s="23" t="str">
        <f aca="false">Calendário!D22</f>
        <v>Sim</v>
      </c>
      <c r="E22" s="10" t="n">
        <f aca="false">Calendário!E22</f>
        <v>3000</v>
      </c>
      <c r="F22" s="24" t="n">
        <f aca="false">SUMPRODUCT((Movimento!$C$8:$C$407&lt;&gt;"")*(TEXT(Movimento!$C$8:$C$407,"yyyy-mm-dd")=TEXT($C22,"yyyy-mm-dd"))*Movimento!$F$8:$F$407)</f>
        <v>0</v>
      </c>
      <c r="G22" s="25" t="n">
        <f aca="false">IF($E22=0,"",IFERROR($F22/$E22,0))</f>
        <v>0</v>
      </c>
      <c r="H22" s="26" t="n">
        <f aca="false">IF(AND($E22&gt;0,$F22&gt;=$E22),1,0)</f>
        <v>0</v>
      </c>
      <c r="I22" s="24" t="n">
        <f aca="false">I21+$F22</f>
        <v>0</v>
      </c>
      <c r="J22" s="10" t="n">
        <f aca="false">J21+$E22</f>
        <v>42000</v>
      </c>
      <c r="K22" s="10" t="n">
        <f aca="false">I22-J22</f>
        <v>-42000</v>
      </c>
    </row>
    <row r="23" customFormat="false" ht="15" hidden="false" customHeight="false" outlineLevel="0" collapsed="false">
      <c r="C23" s="22" t="n">
        <f aca="false">Calendário!C23</f>
        <v>46282</v>
      </c>
      <c r="D23" s="23" t="str">
        <f aca="false">Calendário!D23</f>
        <v>Sim</v>
      </c>
      <c r="E23" s="10" t="n">
        <f aca="false">Calendário!E23</f>
        <v>3000</v>
      </c>
      <c r="F23" s="24" t="n">
        <f aca="false">SUMPRODUCT((Movimento!$C$8:$C$407&lt;&gt;"")*(TEXT(Movimento!$C$8:$C$407,"yyyy-mm-dd")=TEXT($C23,"yyyy-mm-dd"))*Movimento!$F$8:$F$407)</f>
        <v>0</v>
      </c>
      <c r="G23" s="25" t="n">
        <f aca="false">IF($E23=0,"",IFERROR($F23/$E23,0))</f>
        <v>0</v>
      </c>
      <c r="H23" s="26" t="n">
        <f aca="false">IF(AND($E23&gt;0,$F23&gt;=$E23),1,0)</f>
        <v>0</v>
      </c>
      <c r="I23" s="24" t="n">
        <f aca="false">I22+$F23</f>
        <v>0</v>
      </c>
      <c r="J23" s="10" t="n">
        <f aca="false">J22+$E23</f>
        <v>45000</v>
      </c>
      <c r="K23" s="10" t="n">
        <f aca="false">I23-J23</f>
        <v>-45000</v>
      </c>
    </row>
    <row r="24" customFormat="false" ht="15" hidden="false" customHeight="false" outlineLevel="0" collapsed="false">
      <c r="C24" s="22" t="n">
        <f aca="false">Calendário!C24</f>
        <v>46283</v>
      </c>
      <c r="D24" s="23" t="str">
        <f aca="false">Calendário!D24</f>
        <v>Sim</v>
      </c>
      <c r="E24" s="10" t="n">
        <f aca="false">Calendário!E24</f>
        <v>3000</v>
      </c>
      <c r="F24" s="24" t="n">
        <f aca="false">SUMPRODUCT((Movimento!$C$8:$C$407&lt;&gt;"")*(TEXT(Movimento!$C$8:$C$407,"yyyy-mm-dd")=TEXT($C24,"yyyy-mm-dd"))*Movimento!$F$8:$F$407)</f>
        <v>0</v>
      </c>
      <c r="G24" s="25" t="n">
        <f aca="false">IF($E24=0,"",IFERROR($F24/$E24,0))</f>
        <v>0</v>
      </c>
      <c r="H24" s="26" t="n">
        <f aca="false">IF(AND($E24&gt;0,$F24&gt;=$E24),1,0)</f>
        <v>0</v>
      </c>
      <c r="I24" s="24" t="n">
        <f aca="false">I23+$F24</f>
        <v>0</v>
      </c>
      <c r="J24" s="10" t="n">
        <f aca="false">J23+$E24</f>
        <v>48000</v>
      </c>
      <c r="K24" s="10" t="n">
        <f aca="false">I24-J24</f>
        <v>-48000</v>
      </c>
    </row>
    <row r="25" customFormat="false" ht="15" hidden="false" customHeight="false" outlineLevel="0" collapsed="false">
      <c r="C25" s="22" t="n">
        <f aca="false">Calendário!C25</f>
        <v>46284</v>
      </c>
      <c r="D25" s="23" t="str">
        <f aca="false">Calendário!D25</f>
        <v>Sim</v>
      </c>
      <c r="E25" s="10" t="n">
        <f aca="false">Calendário!E25</f>
        <v>3000</v>
      </c>
      <c r="F25" s="24" t="n">
        <f aca="false">SUMPRODUCT((Movimento!$C$8:$C$407&lt;&gt;"")*(TEXT(Movimento!$C$8:$C$407,"yyyy-mm-dd")=TEXT($C25,"yyyy-mm-dd"))*Movimento!$F$8:$F$407)</f>
        <v>0</v>
      </c>
      <c r="G25" s="25" t="n">
        <f aca="false">IF($E25=0,"",IFERROR($F25/$E25,0))</f>
        <v>0</v>
      </c>
      <c r="H25" s="26" t="n">
        <f aca="false">IF(AND($E25&gt;0,$F25&gt;=$E25),1,0)</f>
        <v>0</v>
      </c>
      <c r="I25" s="24" t="n">
        <f aca="false">I24+$F25</f>
        <v>0</v>
      </c>
      <c r="J25" s="10" t="n">
        <f aca="false">J24+$E25</f>
        <v>51000</v>
      </c>
      <c r="K25" s="10" t="n">
        <f aca="false">I25-J25</f>
        <v>-51000</v>
      </c>
    </row>
    <row r="26" customFormat="false" ht="15" hidden="false" customHeight="false" outlineLevel="0" collapsed="false">
      <c r="C26" s="22" t="n">
        <f aca="false">Calendário!C26</f>
        <v>46285</v>
      </c>
      <c r="D26" s="23" t="str">
        <f aca="false">Calendário!D26</f>
        <v>Não</v>
      </c>
      <c r="E26" s="10" t="n">
        <f aca="false">Calendário!E26</f>
        <v>0</v>
      </c>
      <c r="F26" s="24" t="n">
        <f aca="false">SUMPRODUCT((Movimento!$C$8:$C$407&lt;&gt;"")*(TEXT(Movimento!$C$8:$C$407,"yyyy-mm-dd")=TEXT($C26,"yyyy-mm-dd"))*Movimento!$F$8:$F$407)</f>
        <v>0</v>
      </c>
      <c r="G26" s="25" t="str">
        <f aca="false">IF($E26=0,"",IFERROR($F26/$E26,0))</f>
        <v/>
      </c>
      <c r="H26" s="26" t="n">
        <f aca="false">IF(AND($E26&gt;0,$F26&gt;=$E26),1,0)</f>
        <v>0</v>
      </c>
      <c r="I26" s="24" t="n">
        <f aca="false">I25+$F26</f>
        <v>0</v>
      </c>
      <c r="J26" s="10" t="n">
        <f aca="false">J25+$E26</f>
        <v>51000</v>
      </c>
      <c r="K26" s="10" t="n">
        <f aca="false">I26-J26</f>
        <v>-51000</v>
      </c>
    </row>
    <row r="27" customFormat="false" ht="15" hidden="false" customHeight="false" outlineLevel="0" collapsed="false">
      <c r="C27" s="22" t="n">
        <f aca="false">Calendário!C27</f>
        <v>46286</v>
      </c>
      <c r="D27" s="23" t="str">
        <f aca="false">Calendário!D27</f>
        <v>Sim</v>
      </c>
      <c r="E27" s="10" t="n">
        <f aca="false">Calendário!E27</f>
        <v>3000</v>
      </c>
      <c r="F27" s="24" t="n">
        <f aca="false">SUMPRODUCT((Movimento!$C$8:$C$407&lt;&gt;"")*(TEXT(Movimento!$C$8:$C$407,"yyyy-mm-dd")=TEXT($C27,"yyyy-mm-dd"))*Movimento!$F$8:$F$407)</f>
        <v>0</v>
      </c>
      <c r="G27" s="25" t="n">
        <f aca="false">IF($E27=0,"",IFERROR($F27/$E27,0))</f>
        <v>0</v>
      </c>
      <c r="H27" s="26" t="n">
        <f aca="false">IF(AND($E27&gt;0,$F27&gt;=$E27),1,0)</f>
        <v>0</v>
      </c>
      <c r="I27" s="24" t="n">
        <f aca="false">I26+$F27</f>
        <v>0</v>
      </c>
      <c r="J27" s="10" t="n">
        <f aca="false">J26+$E27</f>
        <v>54000</v>
      </c>
      <c r="K27" s="10" t="n">
        <f aca="false">I27-J27</f>
        <v>-54000</v>
      </c>
    </row>
    <row r="28" customFormat="false" ht="15" hidden="false" customHeight="false" outlineLevel="0" collapsed="false">
      <c r="C28" s="22" t="n">
        <f aca="false">Calendário!C28</f>
        <v>46287</v>
      </c>
      <c r="D28" s="23" t="str">
        <f aca="false">Calendário!D28</f>
        <v>Sim</v>
      </c>
      <c r="E28" s="10" t="n">
        <f aca="false">Calendário!E28</f>
        <v>3000</v>
      </c>
      <c r="F28" s="24" t="n">
        <f aca="false">SUMPRODUCT((Movimento!$C$8:$C$407&lt;&gt;"")*(TEXT(Movimento!$C$8:$C$407,"yyyy-mm-dd")=TEXT($C28,"yyyy-mm-dd"))*Movimento!$F$8:$F$407)</f>
        <v>0</v>
      </c>
      <c r="G28" s="25" t="n">
        <f aca="false">IF($E28=0,"",IFERROR($F28/$E28,0))</f>
        <v>0</v>
      </c>
      <c r="H28" s="26" t="n">
        <f aca="false">IF(AND($E28&gt;0,$F28&gt;=$E28),1,0)</f>
        <v>0</v>
      </c>
      <c r="I28" s="24" t="n">
        <f aca="false">I27+$F28</f>
        <v>0</v>
      </c>
      <c r="J28" s="10" t="n">
        <f aca="false">J27+$E28</f>
        <v>57000</v>
      </c>
      <c r="K28" s="10" t="n">
        <f aca="false">I28-J28</f>
        <v>-57000</v>
      </c>
    </row>
    <row r="29" customFormat="false" ht="15" hidden="false" customHeight="false" outlineLevel="0" collapsed="false">
      <c r="C29" s="22" t="n">
        <f aca="false">Calendário!C29</f>
        <v>46288</v>
      </c>
      <c r="D29" s="23" t="str">
        <f aca="false">Calendário!D29</f>
        <v>Sim</v>
      </c>
      <c r="E29" s="10" t="n">
        <f aca="false">Calendário!E29</f>
        <v>3000</v>
      </c>
      <c r="F29" s="24" t="n">
        <f aca="false">SUMPRODUCT((Movimento!$C$8:$C$407&lt;&gt;"")*(TEXT(Movimento!$C$8:$C$407,"yyyy-mm-dd")=TEXT($C29,"yyyy-mm-dd"))*Movimento!$F$8:$F$407)</f>
        <v>0</v>
      </c>
      <c r="G29" s="25" t="n">
        <f aca="false">IF($E29=0,"",IFERROR($F29/$E29,0))</f>
        <v>0</v>
      </c>
      <c r="H29" s="26" t="n">
        <f aca="false">IF(AND($E29&gt;0,$F29&gt;=$E29),1,0)</f>
        <v>0</v>
      </c>
      <c r="I29" s="24" t="n">
        <f aca="false">I28+$F29</f>
        <v>0</v>
      </c>
      <c r="J29" s="10" t="n">
        <f aca="false">J28+$E29</f>
        <v>60000</v>
      </c>
      <c r="K29" s="10" t="n">
        <f aca="false">I29-J29</f>
        <v>-60000</v>
      </c>
    </row>
    <row r="30" customFormat="false" ht="15" hidden="false" customHeight="false" outlineLevel="0" collapsed="false">
      <c r="C30" s="22" t="n">
        <f aca="false">Calendário!C30</f>
        <v>46289</v>
      </c>
      <c r="D30" s="23" t="str">
        <f aca="false">Calendário!D30</f>
        <v>Sim</v>
      </c>
      <c r="E30" s="10" t="n">
        <f aca="false">Calendário!E30</f>
        <v>3000</v>
      </c>
      <c r="F30" s="24" t="n">
        <f aca="false">SUMPRODUCT((Movimento!$C$8:$C$407&lt;&gt;"")*(TEXT(Movimento!$C$8:$C$407,"yyyy-mm-dd")=TEXT($C30,"yyyy-mm-dd"))*Movimento!$F$8:$F$407)</f>
        <v>0</v>
      </c>
      <c r="G30" s="25" t="n">
        <f aca="false">IF($E30=0,"",IFERROR($F30/$E30,0))</f>
        <v>0</v>
      </c>
      <c r="H30" s="26" t="n">
        <f aca="false">IF(AND($E30&gt;0,$F30&gt;=$E30),1,0)</f>
        <v>0</v>
      </c>
      <c r="I30" s="24" t="n">
        <f aca="false">I29+$F30</f>
        <v>0</v>
      </c>
      <c r="J30" s="10" t="n">
        <f aca="false">J29+$E30</f>
        <v>63000</v>
      </c>
      <c r="K30" s="10" t="n">
        <f aca="false">I30-J30</f>
        <v>-63000</v>
      </c>
    </row>
    <row r="31" customFormat="false" ht="15" hidden="false" customHeight="false" outlineLevel="0" collapsed="false">
      <c r="C31" s="22" t="n">
        <f aca="false">Calendário!C31</f>
        <v>46290</v>
      </c>
      <c r="D31" s="23" t="str">
        <f aca="false">Calendário!D31</f>
        <v>Sim</v>
      </c>
      <c r="E31" s="10" t="n">
        <f aca="false">Calendário!E31</f>
        <v>3000</v>
      </c>
      <c r="F31" s="24" t="n">
        <f aca="false">SUMPRODUCT((Movimento!$C$8:$C$407&lt;&gt;"")*(TEXT(Movimento!$C$8:$C$407,"yyyy-mm-dd")=TEXT($C31,"yyyy-mm-dd"))*Movimento!$F$8:$F$407)</f>
        <v>0</v>
      </c>
      <c r="G31" s="25" t="n">
        <f aca="false">IF($E31=0,"",IFERROR($F31/$E31,0))</f>
        <v>0</v>
      </c>
      <c r="H31" s="26" t="n">
        <f aca="false">IF(AND($E31&gt;0,$F31&gt;=$E31),1,0)</f>
        <v>0</v>
      </c>
      <c r="I31" s="24" t="n">
        <f aca="false">I30+$F31</f>
        <v>0</v>
      </c>
      <c r="J31" s="10" t="n">
        <f aca="false">J30+$E31</f>
        <v>66000</v>
      </c>
      <c r="K31" s="10" t="n">
        <f aca="false">I31-J31</f>
        <v>-66000</v>
      </c>
    </row>
    <row r="32" customFormat="false" ht="15" hidden="false" customHeight="false" outlineLevel="0" collapsed="false">
      <c r="C32" s="22" t="n">
        <f aca="false">Calendário!C32</f>
        <v>46291</v>
      </c>
      <c r="D32" s="23" t="str">
        <f aca="false">Calendário!D32</f>
        <v>Sim</v>
      </c>
      <c r="E32" s="10" t="n">
        <f aca="false">Calendário!E32</f>
        <v>3000</v>
      </c>
      <c r="F32" s="24" t="n">
        <f aca="false">SUMPRODUCT((Movimento!$C$8:$C$407&lt;&gt;"")*(TEXT(Movimento!$C$8:$C$407,"yyyy-mm-dd")=TEXT($C32,"yyyy-mm-dd"))*Movimento!$F$8:$F$407)</f>
        <v>0</v>
      </c>
      <c r="G32" s="25" t="n">
        <f aca="false">IF($E32=0,"",IFERROR($F32/$E32,0))</f>
        <v>0</v>
      </c>
      <c r="H32" s="26" t="n">
        <f aca="false">IF(AND($E32&gt;0,$F32&gt;=$E32),1,0)</f>
        <v>0</v>
      </c>
      <c r="I32" s="24" t="n">
        <f aca="false">I31+$F32</f>
        <v>0</v>
      </c>
      <c r="J32" s="10" t="n">
        <f aca="false">J31+$E32</f>
        <v>69000</v>
      </c>
      <c r="K32" s="10" t="n">
        <f aca="false">I32-J32</f>
        <v>-69000</v>
      </c>
    </row>
    <row r="33" customFormat="false" ht="15" hidden="false" customHeight="false" outlineLevel="0" collapsed="false">
      <c r="C33" s="22" t="n">
        <f aca="false">Calendário!C33</f>
        <v>46292</v>
      </c>
      <c r="D33" s="23" t="str">
        <f aca="false">Calendário!D33</f>
        <v>Não</v>
      </c>
      <c r="E33" s="10" t="n">
        <f aca="false">Calendário!E33</f>
        <v>0</v>
      </c>
      <c r="F33" s="24" t="n">
        <f aca="false">SUMPRODUCT((Movimento!$C$8:$C$407&lt;&gt;"")*(TEXT(Movimento!$C$8:$C$407,"yyyy-mm-dd")=TEXT($C33,"yyyy-mm-dd"))*Movimento!$F$8:$F$407)</f>
        <v>0</v>
      </c>
      <c r="G33" s="25" t="str">
        <f aca="false">IF($E33=0,"",IFERROR($F33/$E33,0))</f>
        <v/>
      </c>
      <c r="H33" s="26" t="n">
        <f aca="false">IF(AND($E33&gt;0,$F33&gt;=$E33),1,0)</f>
        <v>0</v>
      </c>
      <c r="I33" s="24" t="n">
        <f aca="false">I32+$F33</f>
        <v>0</v>
      </c>
      <c r="J33" s="10" t="n">
        <f aca="false">J32+$E33</f>
        <v>69000</v>
      </c>
      <c r="K33" s="10" t="n">
        <f aca="false">I33-J33</f>
        <v>-69000</v>
      </c>
    </row>
    <row r="34" customFormat="false" ht="15" hidden="false" customHeight="false" outlineLevel="0" collapsed="false">
      <c r="C34" s="22" t="n">
        <f aca="false">Calendário!C34</f>
        <v>46293</v>
      </c>
      <c r="D34" s="23" t="str">
        <f aca="false">Calendário!D34</f>
        <v>Sim</v>
      </c>
      <c r="E34" s="10" t="n">
        <f aca="false">Calendário!E34</f>
        <v>3000</v>
      </c>
      <c r="F34" s="24" t="n">
        <f aca="false">SUMPRODUCT((Movimento!$C$8:$C$407&lt;&gt;"")*(TEXT(Movimento!$C$8:$C$407,"yyyy-mm-dd")=TEXT($C34,"yyyy-mm-dd"))*Movimento!$F$8:$F$407)</f>
        <v>0</v>
      </c>
      <c r="G34" s="25" t="n">
        <f aca="false">IF($E34=0,"",IFERROR($F34/$E34,0))</f>
        <v>0</v>
      </c>
      <c r="H34" s="26" t="n">
        <f aca="false">IF(AND($E34&gt;0,$F34&gt;=$E34),1,0)</f>
        <v>0</v>
      </c>
      <c r="I34" s="24" t="n">
        <f aca="false">I33+$F34</f>
        <v>0</v>
      </c>
      <c r="J34" s="10" t="n">
        <f aca="false">J33+$E34</f>
        <v>72000</v>
      </c>
      <c r="K34" s="10" t="n">
        <f aca="false">I34-J34</f>
        <v>-72000</v>
      </c>
    </row>
    <row r="35" customFormat="false" ht="15" hidden="false" customHeight="false" outlineLevel="0" collapsed="false">
      <c r="C35" s="22" t="n">
        <f aca="false">Calendário!C35</f>
        <v>46294</v>
      </c>
      <c r="D35" s="23" t="str">
        <f aca="false">Calendário!D35</f>
        <v>Sim</v>
      </c>
      <c r="E35" s="10" t="n">
        <f aca="false">Calendário!E35</f>
        <v>3000</v>
      </c>
      <c r="F35" s="24" t="n">
        <f aca="false">SUMPRODUCT((Movimento!$C$8:$C$407&lt;&gt;"")*(TEXT(Movimento!$C$8:$C$407,"yyyy-mm-dd")=TEXT($C35,"yyyy-mm-dd"))*Movimento!$F$8:$F$407)</f>
        <v>0</v>
      </c>
      <c r="G35" s="25" t="n">
        <f aca="false">IF($E35=0,"",IFERROR($F35/$E35,0))</f>
        <v>0</v>
      </c>
      <c r="H35" s="26" t="n">
        <f aca="false">IF(AND($E35&gt;0,$F35&gt;=$E35),1,0)</f>
        <v>0</v>
      </c>
      <c r="I35" s="24" t="n">
        <f aca="false">I34+$F35</f>
        <v>0</v>
      </c>
      <c r="J35" s="10" t="n">
        <f aca="false">J34+$E35</f>
        <v>75000</v>
      </c>
      <c r="K35" s="10" t="n">
        <f aca="false">I35-J35</f>
        <v>-75000</v>
      </c>
    </row>
    <row r="36" customFormat="false" ht="15" hidden="false" customHeight="false" outlineLevel="0" collapsed="false">
      <c r="C36" s="22" t="n">
        <f aca="false">Calendário!C36</f>
        <v>46295</v>
      </c>
      <c r="D36" s="23" t="str">
        <f aca="false">Calendário!D36</f>
        <v>Sim</v>
      </c>
      <c r="E36" s="10" t="n">
        <f aca="false">Calendário!E36</f>
        <v>3000</v>
      </c>
      <c r="F36" s="24" t="n">
        <f aca="false">SUMPRODUCT((Movimento!$C$8:$C$407&lt;&gt;"")*(TEXT(Movimento!$C$8:$C$407,"yyyy-mm-dd")=TEXT($C36,"yyyy-mm-dd"))*Movimento!$F$8:$F$407)</f>
        <v>0</v>
      </c>
      <c r="G36" s="25" t="n">
        <f aca="false">IF($E36=0,"",IFERROR($F36/$E36,0))</f>
        <v>0</v>
      </c>
      <c r="H36" s="26" t="n">
        <f aca="false">IF(AND($E36&gt;0,$F36&gt;=$E36),1,0)</f>
        <v>0</v>
      </c>
      <c r="I36" s="24" t="n">
        <f aca="false">I35+$F36</f>
        <v>0</v>
      </c>
      <c r="J36" s="10" t="n">
        <f aca="false">J35+$E36</f>
        <v>78000</v>
      </c>
      <c r="K36" s="10" t="n">
        <f aca="false">I36-J36</f>
        <v>-78000</v>
      </c>
    </row>
    <row r="37" customFormat="false" ht="15" hidden="false" customHeight="false" outlineLevel="0" collapsed="false">
      <c r="C37" s="27" t="s">
        <v>58</v>
      </c>
      <c r="D37" s="27"/>
      <c r="E37" s="28" t="n">
        <f aca="false">SUM(E7:E36)</f>
        <v>78000</v>
      </c>
      <c r="F37" s="28" t="n">
        <f aca="false">SUM(F7:F36)</f>
        <v>0</v>
      </c>
      <c r="G37" s="29" t="n">
        <f aca="false">IFERROR(F37/E37,0)</f>
        <v>0</v>
      </c>
      <c r="H37" s="30" t="n">
        <f aca="false">SUM(H7:H36)</f>
        <v>0</v>
      </c>
      <c r="I37" s="28" t="n">
        <f aca="false">I36</f>
        <v>0</v>
      </c>
      <c r="J37" s="27"/>
      <c r="K37" s="28" t="n">
        <f aca="false">I37-E37</f>
        <v>-78000</v>
      </c>
    </row>
  </sheetData>
  <mergeCells count="2">
    <mergeCell ref="C1:K1"/>
    <mergeCell ref="C2:K2"/>
  </mergeCells>
  <conditionalFormatting sqref="G7:G37">
    <cfRule type="cellIs" priority="2" operator="greaterThanOrEqual" aboveAverage="0" equalAverage="0" bottom="0" percent="0" rank="0" text="" dxfId="4">
      <formula>1</formula>
    </cfRule>
    <cfRule type="cellIs" priority="3" operator="lessThan" aboveAverage="0" equalAverage="0" bottom="0" percent="0" rank="0" text="" dxfId="5">
      <formula>0.8</formula>
    </cfRule>
  </conditionalFormatting>
  <conditionalFormatting sqref="K7:K37">
    <cfRule type="cellIs" priority="4" operator="lessThan" aboveAverage="0" equalAverage="0" bottom="0" percent="0" rank="0" text="" dxfId="5">
      <formula>0</formula>
    </cfRule>
  </conditionalFormatting>
  <conditionalFormatting sqref="F7:F36">
    <cfRule type="dataBar" priority="5">
      <dataBar showValue="1" minLength="10" maxLength="90">
        <cfvo type="num" val="0"/>
        <cfvo type="max" val="0"/>
        <color rgb="FFC9C9C9"/>
      </dataBar>
      <extLst>
        <ext xmlns:x14="http://schemas.microsoft.com/office/spreadsheetml/2009/9/main" uri="{B025F937-C7B1-47D3-B67F-A62EFF666E3E}">
          <x14:id>{162E7862-C8F8-4894-BF71-C76F6696CA3E}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E7862-C8F8-4894-BF71-C76F6696CA3E}">
            <x14:dataBar minLength="10" maxLength="90" axisPosition="none" gradient="true">
              <x14:cfvo type="num">
                <xm:f>0</xm:f>
              </x14:cfvo>
              <x14:cfvo type="max"/>
              <x14:negativeFillColor rgb="FFC9C9C9"/>
              <x14:axisColor rgb="FF000000"/>
            </x14:dataBar>
          </x14:cfRule>
          <xm:sqref>F7:F36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9"/>
  </cols>
  <sheetData>
    <row r="1" customFormat="false" ht="30" hidden="false" customHeight="true" outlineLevel="0" collapsed="false">
      <c r="C1" s="31" t="s">
        <v>59</v>
      </c>
      <c r="D1" s="31"/>
      <c r="E1" s="31"/>
      <c r="F1" s="31"/>
      <c r="G1" s="31"/>
      <c r="H1" s="31"/>
      <c r="I1" s="31"/>
    </row>
    <row r="2" customFormat="false" ht="19.5" hidden="false" customHeight="true" outlineLevel="0" collapsed="false">
      <c r="C2" s="32" t="s">
        <v>60</v>
      </c>
      <c r="D2" s="32"/>
      <c r="E2" s="32"/>
      <c r="F2" s="32"/>
      <c r="G2" s="32"/>
      <c r="H2" s="32"/>
      <c r="I2" s="32"/>
    </row>
    <row r="4" customFormat="false" ht="15" hidden="false" customHeight="false" outlineLevel="0" collapsed="false">
      <c r="C4" s="33" t="s">
        <v>61</v>
      </c>
      <c r="D4" s="33"/>
      <c r="E4" s="33" t="s">
        <v>62</v>
      </c>
      <c r="F4" s="33"/>
      <c r="G4" s="33" t="s">
        <v>63</v>
      </c>
      <c r="H4" s="33"/>
      <c r="I4" s="33" t="s">
        <v>64</v>
      </c>
      <c r="J4" s="33"/>
    </row>
    <row r="5" customFormat="false" ht="33.75" hidden="false" customHeight="true" outlineLevel="0" collapsed="false">
      <c r="C5" s="34" t="n">
        <f aca="false">Calendário!$D$4</f>
        <v>78000</v>
      </c>
      <c r="D5" s="34"/>
      <c r="E5" s="34" t="n">
        <f aca="false">Movimento!$D$4</f>
        <v>0</v>
      </c>
      <c r="F5" s="34"/>
      <c r="G5" s="34" t="n">
        <f aca="false">Movimento!$J$4</f>
        <v>0</v>
      </c>
      <c r="H5" s="34"/>
      <c r="I5" s="35" t="n">
        <f aca="false">IFERROR(Movimento!$D$4/Calendário!$D$4,0)</f>
        <v>0</v>
      </c>
      <c r="J5" s="35"/>
    </row>
    <row r="7" customFormat="false" ht="15" hidden="false" customHeight="false" outlineLevel="0" collapsed="false">
      <c r="C7" s="36" t="s">
        <v>65</v>
      </c>
    </row>
    <row r="8" customFormat="false" ht="17.35" hidden="false" customHeight="false" outlineLevel="0" collapsed="false">
      <c r="C8" s="37" t="str">
        <f aca="false">'Dia a Dia'!H37&amp;" de "&amp;Calendário!$E$4&amp;" dias trabalhados"</f>
        <v>0 de 26 dias trabalhados</v>
      </c>
      <c r="D8" s="37"/>
      <c r="E8" s="37"/>
    </row>
    <row r="10" customFormat="false" ht="15" hidden="false" customHeight="false" outlineLevel="0" collapsed="false">
      <c r="C10" s="36" t="s">
        <v>66</v>
      </c>
      <c r="G10" s="36" t="s">
        <v>67</v>
      </c>
    </row>
    <row r="11" customFormat="false" ht="15" hidden="false" customHeight="false" outlineLevel="0" collapsed="false">
      <c r="C11" s="38" t="s">
        <v>39</v>
      </c>
      <c r="D11" s="38" t="s">
        <v>41</v>
      </c>
      <c r="E11" s="38" t="s">
        <v>68</v>
      </c>
      <c r="G11" s="38" t="s">
        <v>69</v>
      </c>
      <c r="H11" s="38" t="s">
        <v>41</v>
      </c>
      <c r="I11" s="38" t="s">
        <v>68</v>
      </c>
    </row>
    <row r="12" customFormat="false" ht="15" hidden="false" customHeight="false" outlineLevel="0" collapsed="false">
      <c r="C12" s="39" t="s">
        <v>1</v>
      </c>
      <c r="D12" s="40" t="n">
        <f aca="false">SUMIFS(Movimento!$F$8:$F$407,Movimento!$D$8:$D$407,$C12)</f>
        <v>0</v>
      </c>
      <c r="E12" s="25" t="n">
        <f aca="false">IFERROR(D12/Movimento!$D$4,0)</f>
        <v>0</v>
      </c>
      <c r="G12" s="39" t="s">
        <v>2</v>
      </c>
      <c r="H12" s="40" t="n">
        <f aca="false">SUMIFS(Movimento!$F$8:$F$407,Movimento!$E$8:$E$407,$G12)</f>
        <v>0</v>
      </c>
      <c r="I12" s="25" t="n">
        <f aca="false">IFERROR(H12/Movimento!$D$4,0)</f>
        <v>0</v>
      </c>
    </row>
    <row r="13" customFormat="false" ht="15" hidden="false" customHeight="false" outlineLevel="0" collapsed="false">
      <c r="C13" s="39" t="s">
        <v>5</v>
      </c>
      <c r="D13" s="40" t="n">
        <f aca="false">SUMIFS(Movimento!$F$8:$F$407,Movimento!$D$8:$D$407,$C13)</f>
        <v>0</v>
      </c>
      <c r="E13" s="25" t="n">
        <f aca="false">IFERROR(D13/Movimento!$D$4,0)</f>
        <v>0</v>
      </c>
      <c r="G13" s="39" t="s">
        <v>6</v>
      </c>
      <c r="H13" s="40" t="n">
        <f aca="false">SUMIFS(Movimento!$F$8:$F$407,Movimento!$E$8:$E$407,$G13)</f>
        <v>0</v>
      </c>
      <c r="I13" s="25" t="n">
        <f aca="false">IFERROR(H13/Movimento!$D$4,0)</f>
        <v>0</v>
      </c>
    </row>
    <row r="14" customFormat="false" ht="15" hidden="false" customHeight="false" outlineLevel="0" collapsed="false">
      <c r="C14" s="39" t="s">
        <v>9</v>
      </c>
      <c r="D14" s="40" t="n">
        <f aca="false">SUMIFS(Movimento!$F$8:$F$407,Movimento!$D$8:$D$407,$C14)</f>
        <v>0</v>
      </c>
      <c r="E14" s="25" t="n">
        <f aca="false">IFERROR(D14/Movimento!$D$4,0)</f>
        <v>0</v>
      </c>
      <c r="G14" s="39" t="s">
        <v>10</v>
      </c>
      <c r="H14" s="40" t="n">
        <f aca="false">SUMIFS(Movimento!$F$8:$F$407,Movimento!$E$8:$E$407,$G14)</f>
        <v>0</v>
      </c>
      <c r="I14" s="25" t="n">
        <f aca="false">IFERROR(H14/Movimento!$D$4,0)</f>
        <v>0</v>
      </c>
    </row>
    <row r="15" customFormat="false" ht="15" hidden="false" customHeight="false" outlineLevel="0" collapsed="false">
      <c r="C15" s="39" t="s">
        <v>12</v>
      </c>
      <c r="D15" s="40" t="n">
        <f aca="false">SUMIFS(Movimento!$F$8:$F$407,Movimento!$D$8:$D$407,$C15)</f>
        <v>0</v>
      </c>
      <c r="E15" s="25" t="n">
        <f aca="false">IFERROR(D15/Movimento!$D$4,0)</f>
        <v>0</v>
      </c>
      <c r="G15" s="39" t="s">
        <v>13</v>
      </c>
      <c r="H15" s="40" t="n">
        <f aca="false">SUMIFS(Movimento!$F$8:$F$407,Movimento!$E$8:$E$407,$G15)</f>
        <v>0</v>
      </c>
      <c r="I15" s="25" t="n">
        <f aca="false">IFERROR(H15/Movimento!$D$4,0)</f>
        <v>0</v>
      </c>
    </row>
    <row r="16" customFormat="false" ht="15" hidden="false" customHeight="false" outlineLevel="0" collapsed="false">
      <c r="C16" s="39" t="s">
        <v>15</v>
      </c>
      <c r="D16" s="40" t="n">
        <f aca="false">SUMIFS(Movimento!$F$8:$F$407,Movimento!$D$8:$D$407,$C16)</f>
        <v>0</v>
      </c>
      <c r="E16" s="25" t="n">
        <f aca="false">IFERROR(D16/Movimento!$D$4,0)</f>
        <v>0</v>
      </c>
      <c r="G16" s="39" t="s">
        <v>16</v>
      </c>
      <c r="H16" s="40" t="n">
        <f aca="false">SUMIFS(Movimento!$F$8:$F$407,Movimento!$E$8:$E$407,$G16)</f>
        <v>0</v>
      </c>
      <c r="I16" s="25" t="n">
        <f aca="false">IFERROR(H16/Movimento!$D$4,0)</f>
        <v>0</v>
      </c>
    </row>
    <row r="17" customFormat="false" ht="15" hidden="false" customHeight="false" outlineLevel="0" collapsed="false">
      <c r="C17" s="39" t="s">
        <v>18</v>
      </c>
      <c r="D17" s="40" t="n">
        <f aca="false">SUMIFS(Movimento!$F$8:$F$407,Movimento!$D$8:$D$407,$C17)</f>
        <v>0</v>
      </c>
      <c r="E17" s="25" t="n">
        <f aca="false">IFERROR(D17/Movimento!$D$4,0)</f>
        <v>0</v>
      </c>
      <c r="G17" s="39" t="s">
        <v>19</v>
      </c>
      <c r="H17" s="40" t="n">
        <f aca="false">SUMIFS(Movimento!$F$8:$F$407,Movimento!$E$8:$E$407,$G17)</f>
        <v>0</v>
      </c>
      <c r="I17" s="25" t="n">
        <f aca="false">IFERROR(H17/Movimento!$D$4,0)</f>
        <v>0</v>
      </c>
    </row>
    <row r="18" customFormat="false" ht="15" hidden="false" customHeight="false" outlineLevel="0" collapsed="false">
      <c r="G18" s="39" t="s">
        <v>21</v>
      </c>
      <c r="H18" s="40" t="n">
        <f aca="false">SUMIFS(Movimento!$F$8:$F$407,Movimento!$E$8:$E$407,$G18)</f>
        <v>0</v>
      </c>
      <c r="I18" s="25" t="n">
        <f aca="false">IFERROR(H18/Movimento!$D$4,0)</f>
        <v>0</v>
      </c>
    </row>
    <row r="20" customFormat="false" ht="15" hidden="false" customHeight="false" outlineLevel="0" collapsed="false">
      <c r="C20" s="36" t="s">
        <v>70</v>
      </c>
    </row>
    <row r="21" customFormat="false" ht="15" hidden="false" customHeight="false" outlineLevel="0" collapsed="false">
      <c r="C21" s="39" t="s">
        <v>71</v>
      </c>
      <c r="D21" s="40" t="n">
        <f aca="false">Movimento!$D$4</f>
        <v>0</v>
      </c>
    </row>
    <row r="22" customFormat="false" ht="15" hidden="false" customHeight="false" outlineLevel="0" collapsed="false">
      <c r="C22" s="39" t="s">
        <v>72</v>
      </c>
      <c r="D22" s="40" t="n">
        <f aca="false">Despesas!$D$5</f>
        <v>0</v>
      </c>
    </row>
    <row r="23" customFormat="false" ht="15" hidden="false" customHeight="false" outlineLevel="0" collapsed="false">
      <c r="C23" s="41" t="s">
        <v>73</v>
      </c>
      <c r="D23" s="42" t="n">
        <f aca="false">D21-D22</f>
        <v>0</v>
      </c>
    </row>
    <row r="24" customFormat="false" ht="15" hidden="false" customHeight="false" outlineLevel="0" collapsed="false">
      <c r="C24" s="41" t="s">
        <v>74</v>
      </c>
      <c r="D24" s="43" t="n">
        <f aca="false">IFERROR(D23/D21,0)</f>
        <v>0</v>
      </c>
    </row>
  </sheetData>
  <mergeCells count="11">
    <mergeCell ref="C1:I1"/>
    <mergeCell ref="C2:I2"/>
    <mergeCell ref="C4:D4"/>
    <mergeCell ref="E4:F4"/>
    <mergeCell ref="G4:H4"/>
    <mergeCell ref="I4:J4"/>
    <mergeCell ref="C5:D5"/>
    <mergeCell ref="E5:F5"/>
    <mergeCell ref="G5:H5"/>
    <mergeCell ref="I5:J5"/>
    <mergeCell ref="C8:E8"/>
  </mergeCells>
  <conditionalFormatting sqref="D23">
    <cfRule type="cellIs" priority="2" operator="lessThan" aboveAverage="0" equalAverage="0" bottom="0" percent="0" rank="0" text="" dxfId="6">
      <formula>0</formula>
    </cfRule>
    <cfRule type="cellIs" priority="3" operator="greaterThanOr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2026-09-02T22:35:03Z</dcterms:created>
  <dc:creator>openpyxl</dc:creator>
  <dc:description/>
  <dc:language>en-US</dc:language>
  <cp:lastModifiedBy/>
  <dcterms:modified xsi:type="dcterms:W3CDTF">2026-09-02T22:35:03Z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