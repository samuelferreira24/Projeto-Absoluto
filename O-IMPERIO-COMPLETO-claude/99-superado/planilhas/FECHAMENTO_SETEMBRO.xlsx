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 a Dia" sheetId="1" state="visible" r:id="rId3"/>
    <sheet name="Despesas" sheetId="2" state="visible" r:id="rId4"/>
    <sheet name="Listas" sheetId="3" state="hidden" r:id="rId5"/>
    <sheet name="Fechamento" sheetId="4" state="visible" r:id="rId6"/>
  </sheets>
  <definedNames>
    <definedName function="false" hidden="true" localSheetId="1" name="_xlnm._FilterDatabase" vbProcedure="false">Despesas!$C$5:$G$155</definedName>
    <definedName function="false" hidden="true" localSheetId="0" name="_xlnm._FilterDatabase" vbProcedure="false">'Dia a Dia'!$C$6:$M$36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<sst xmlns="http://schemas.openxmlformats.org/spreadsheetml/2006/main" count="66" uniqueCount="46">
  <si>
    <t xml:space="preserve">SORRISO MAIOR · SETEMBRO 2026</t>
  </si>
  <si>
    <t xml:space="preserve">Lance o caixa do dia nas colunas azuis. Total, acumulado e atingimento se calculam sozinhos.</t>
  </si>
  <si>
    <t xml:space="preserve">Meta do mês</t>
  </si>
  <si>
    <t xml:space="preserve">Dias úteis</t>
  </si>
  <si>
    <t xml:space="preserve">Meta por dia útil</t>
  </si>
  <si>
    <t xml:space="preserve">Data</t>
  </si>
  <si>
    <t xml:space="preserve">Meta do dia</t>
  </si>
  <si>
    <t xml:space="preserve">Crédito</t>
  </si>
  <si>
    <t xml:space="preserve">Débito</t>
  </si>
  <si>
    <t xml:space="preserve">PIX</t>
  </si>
  <si>
    <t xml:space="preserve">Financeira</t>
  </si>
  <si>
    <t xml:space="preserve">Dinheiro</t>
  </si>
  <si>
    <t xml:space="preserve">Boleto</t>
  </si>
  <si>
    <t xml:space="preserve">Total do dia</t>
  </si>
  <si>
    <t xml:space="preserve">Acumulado</t>
  </si>
  <si>
    <t xml:space="preserve">% da meta</t>
  </si>
  <si>
    <t xml:space="preserve">TOTAL DO MÊS</t>
  </si>
  <si>
    <t xml:space="preserve">DESPESAS · SETEMBRO 2026</t>
  </si>
  <si>
    <t xml:space="preserve">Cada saída de dinheiro, uma linha. É isto que vira o custo no DRE.</t>
  </si>
  <si>
    <t xml:space="preserve">Categoria</t>
  </si>
  <si>
    <t xml:space="preserve">Fornecedor / Descrição</t>
  </si>
  <si>
    <t xml:space="preserve">Valor</t>
  </si>
  <si>
    <t xml:space="preserve">Status</t>
  </si>
  <si>
    <t xml:space="preserve">TOTAL DE DESPESAS</t>
  </si>
  <si>
    <t xml:space="preserve">0. Custos Diretos</t>
  </si>
  <si>
    <t xml:space="preserve">1. Administrativa</t>
  </si>
  <si>
    <t xml:space="preserve">2.Financeira</t>
  </si>
  <si>
    <t xml:space="preserve">3.Ocupação</t>
  </si>
  <si>
    <t xml:space="preserve">4.Despesas com Marketing</t>
  </si>
  <si>
    <t xml:space="preserve">5.Despesa com Utilidades</t>
  </si>
  <si>
    <t xml:space="preserve">6.Despesa com Pessoal</t>
  </si>
  <si>
    <t xml:space="preserve">7.Despesas Comerciais</t>
  </si>
  <si>
    <t xml:space="preserve">9. Administração Pinheiro</t>
  </si>
  <si>
    <t xml:space="preserve">10.Tributos</t>
  </si>
  <si>
    <t xml:space="preserve">Deduções da Receita Bruta</t>
  </si>
  <si>
    <t xml:space="preserve">Despesas Empreendedor</t>
  </si>
  <si>
    <t xml:space="preserve">FECHAMENTO · SETEMBRO 2026</t>
  </si>
  <si>
    <t xml:space="preserve">Nada se digita aqui. É esta linha que você leva para o DRE consolidado.</t>
  </si>
  <si>
    <t xml:space="preserve">RECEITA</t>
  </si>
  <si>
    <t xml:space="preserve">Realizado</t>
  </si>
  <si>
    <t xml:space="preserve">Atingimento</t>
  </si>
  <si>
    <t xml:space="preserve">POR FORMA DE PAGAMENTO</t>
  </si>
  <si>
    <t xml:space="preserve">DESPESAS</t>
  </si>
  <si>
    <t xml:space="preserve">Total de despesas</t>
  </si>
  <si>
    <t xml:space="preserve">RESULTADO DO MÊS</t>
  </si>
  <si>
    <t xml:space="preserve">Margem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</si>
</sst>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[RED]&quot;-R$ &quot;#,##0.00;\—"/>
    <numFmt numFmtId="166" formatCode="[$-416]dd/mm&quot;  &quot;ddd"/>
    <numFmt numFmtId="167" formatCode="0.0%"/>
    <numFmt numFmtId="168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1A1A1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sz val="10"/>
      <color rgb="FF80808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2"/>
      <color rgb="FF1A1A1A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1A1A1A"/>
        <bgColor rgb="FF333300"/>
      </patternFill>
    </fill>
    <fill>
      <patternFill patternType="solid">
        <fgColor rgb="FFE8E8E8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>
        <color rgb="FF1A1A1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A1A1A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Calibri"/>
        <charset val="1"/>
        <family val="0"/>
        <b val="1"/>
        <color rgb="FF1F7A3D"/>
      </font>
    </dxf>
    <dxf>
      <font>
        <name val="Calibri"/>
        <charset val="1"/>
        <family val="0"/>
        <color rgb="FFC00000"/>
      </font>
    </dxf>
    <dxf>
      <font>
        <name val="Calibri"/>
        <charset val="1"/>
        <family val="0"/>
        <b val="1"/>
        <color rgb="FFC00000"/>
        <sz val="12"/>
      </font>
    </dxf>
    <dxf>
      <font>
        <name val="Calibri"/>
        <charset val="1"/>
        <family val="0"/>
        <b val="1"/>
        <color rgb="FF1F7A3D"/>
        <sz val="12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8E8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999720</xdr:colOff>
      <xdr:row>2</xdr:row>
      <xdr:rowOff>218880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99972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999720</xdr:colOff>
      <xdr:row>2</xdr:row>
      <xdr:rowOff>228240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99972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999720</xdr:colOff>
      <xdr:row>2</xdr:row>
      <xdr:rowOff>228240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99972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M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10" min="5" style="0" width="12"/>
    <col collapsed="false" customWidth="true" hidden="false" outlineLevel="0" max="12" min="11" style="0" width="14"/>
    <col collapsed="false" customWidth="true" hidden="false" outlineLevel="0" max="13" min="13" style="0" width="11"/>
  </cols>
  <sheetData>
    <row r="1" customFormat="false" ht="2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C2" s="2" t="s">
        <v>1</v>
      </c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/>
    <row r="4" customFormat="false" ht="15" hidden="false" customHeight="false" outlineLevel="0" collapsed="false">
      <c r="C4" s="3" t="s">
        <v>2</v>
      </c>
      <c r="D4" s="4" t="n">
        <v>78000</v>
      </c>
      <c r="E4" s="5" t="s">
        <v>3</v>
      </c>
      <c r="F4" s="6" t="n">
        <v>22</v>
      </c>
      <c r="G4" s="7" t="s">
        <v>4</v>
      </c>
      <c r="H4" s="7"/>
      <c r="I4" s="8" t="n">
        <f aca="false">IFERROR($D$4/$F$4,0)</f>
        <v>3545.45454545455</v>
      </c>
    </row>
    <row r="6" customFormat="false" ht="30" hidden="false" customHeight="true" outlineLevel="0" collapsed="false"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</row>
    <row r="7" customFormat="false" ht="15" hidden="false" customHeight="false" outlineLevel="0" collapsed="false">
      <c r="C7" s="10" t="n">
        <v>46266</v>
      </c>
      <c r="D7" s="11" t="n">
        <f aca="false">IF(WEEKDAY(C7,2)&gt;5,0,$I$4)</f>
        <v>3545.45454545455</v>
      </c>
      <c r="E7" s="12"/>
      <c r="F7" s="12"/>
      <c r="G7" s="12"/>
      <c r="H7" s="12"/>
      <c r="I7" s="12"/>
      <c r="J7" s="12"/>
      <c r="K7" s="13" t="n">
        <f aca="false">SUM(E7:J7)</f>
        <v>0</v>
      </c>
      <c r="L7" s="11" t="n">
        <f aca="false">K7</f>
        <v>0</v>
      </c>
      <c r="M7" s="14" t="n">
        <f aca="false">IFERROR(K7/D7,"")</f>
        <v>0</v>
      </c>
    </row>
    <row r="8" customFormat="false" ht="15" hidden="false" customHeight="false" outlineLevel="0" collapsed="false">
      <c r="C8" s="10" t="n">
        <v>46267</v>
      </c>
      <c r="D8" s="11" t="n">
        <f aca="false">IF(WEEKDAY(C8,2)&gt;5,0,$I$4)</f>
        <v>3545.45454545455</v>
      </c>
      <c r="E8" s="12"/>
      <c r="F8" s="12"/>
      <c r="G8" s="12"/>
      <c r="H8" s="12"/>
      <c r="I8" s="12"/>
      <c r="J8" s="12"/>
      <c r="K8" s="13" t="n">
        <f aca="false">SUM(E8:J8)</f>
        <v>0</v>
      </c>
      <c r="L8" s="11" t="n">
        <f aca="false">L7+K8</f>
        <v>0</v>
      </c>
      <c r="M8" s="14" t="n">
        <f aca="false">IFERROR(K8/D8,"")</f>
        <v>0</v>
      </c>
    </row>
    <row r="9" customFormat="false" ht="15" hidden="false" customHeight="false" outlineLevel="0" collapsed="false">
      <c r="C9" s="10" t="n">
        <v>46268</v>
      </c>
      <c r="D9" s="11" t="n">
        <f aca="false">IF(WEEKDAY(C9,2)&gt;5,0,$I$4)</f>
        <v>3545.45454545455</v>
      </c>
      <c r="E9" s="12"/>
      <c r="F9" s="12"/>
      <c r="G9" s="12"/>
      <c r="H9" s="12"/>
      <c r="I9" s="12"/>
      <c r="J9" s="12"/>
      <c r="K9" s="13" t="n">
        <f aca="false">SUM(E9:J9)</f>
        <v>0</v>
      </c>
      <c r="L9" s="11" t="n">
        <f aca="false">L8+K9</f>
        <v>0</v>
      </c>
      <c r="M9" s="14" t="n">
        <f aca="false">IFERROR(K9/D9,"")</f>
        <v>0</v>
      </c>
    </row>
    <row r="10" customFormat="false" ht="15" hidden="false" customHeight="false" outlineLevel="0" collapsed="false">
      <c r="C10" s="10" t="n">
        <v>46269</v>
      </c>
      <c r="D10" s="11" t="n">
        <f aca="false">IF(WEEKDAY(C10,2)&gt;5,0,$I$4)</f>
        <v>3545.45454545455</v>
      </c>
      <c r="E10" s="12"/>
      <c r="F10" s="12"/>
      <c r="G10" s="12"/>
      <c r="H10" s="12"/>
      <c r="I10" s="12"/>
      <c r="J10" s="12"/>
      <c r="K10" s="13" t="n">
        <f aca="false">SUM(E10:J10)</f>
        <v>0</v>
      </c>
      <c r="L10" s="11" t="n">
        <f aca="false">L9+K10</f>
        <v>0</v>
      </c>
      <c r="M10" s="14" t="n">
        <f aca="false">IFERROR(K10/D10,"")</f>
        <v>0</v>
      </c>
    </row>
    <row r="11" customFormat="false" ht="15" hidden="false" customHeight="false" outlineLevel="0" collapsed="false">
      <c r="C11" s="15" t="n">
        <v>46270</v>
      </c>
      <c r="D11" s="16" t="n">
        <f aca="false">IF(WEEKDAY(C11,2)&gt;5,0,$I$4)</f>
        <v>0</v>
      </c>
      <c r="E11" s="17"/>
      <c r="F11" s="17"/>
      <c r="G11" s="17"/>
      <c r="H11" s="17"/>
      <c r="I11" s="17"/>
      <c r="J11" s="17"/>
      <c r="K11" s="18" t="n">
        <f aca="false">SUM(E11:J11)</f>
        <v>0</v>
      </c>
      <c r="L11" s="16" t="n">
        <f aca="false">L10+K11</f>
        <v>0</v>
      </c>
      <c r="M11" s="19" t="str">
        <f aca="false">IFERROR(K11/D11,"")</f>
        <v/>
      </c>
    </row>
    <row r="12" customFormat="false" ht="15" hidden="false" customHeight="false" outlineLevel="0" collapsed="false">
      <c r="C12" s="15" t="n">
        <v>46271</v>
      </c>
      <c r="D12" s="16" t="n">
        <f aca="false">IF(WEEKDAY(C12,2)&gt;5,0,$I$4)</f>
        <v>0</v>
      </c>
      <c r="E12" s="17"/>
      <c r="F12" s="17"/>
      <c r="G12" s="17"/>
      <c r="H12" s="17"/>
      <c r="I12" s="17"/>
      <c r="J12" s="17"/>
      <c r="K12" s="18" t="n">
        <f aca="false">SUM(E12:J12)</f>
        <v>0</v>
      </c>
      <c r="L12" s="16" t="n">
        <f aca="false">L11+K12</f>
        <v>0</v>
      </c>
      <c r="M12" s="19" t="str">
        <f aca="false">IFERROR(K12/D12,"")</f>
        <v/>
      </c>
    </row>
    <row r="13" customFormat="false" ht="15" hidden="false" customHeight="false" outlineLevel="0" collapsed="false">
      <c r="C13" s="10" t="n">
        <v>46272</v>
      </c>
      <c r="D13" s="11" t="n">
        <f aca="false">IF(WEEKDAY(C13,2)&gt;5,0,$I$4)</f>
        <v>3545.45454545455</v>
      </c>
      <c r="E13" s="12"/>
      <c r="F13" s="12"/>
      <c r="G13" s="12"/>
      <c r="H13" s="12"/>
      <c r="I13" s="12"/>
      <c r="J13" s="12"/>
      <c r="K13" s="13" t="n">
        <f aca="false">SUM(E13:J13)</f>
        <v>0</v>
      </c>
      <c r="L13" s="11" t="n">
        <f aca="false">L12+K13</f>
        <v>0</v>
      </c>
      <c r="M13" s="14" t="n">
        <f aca="false">IFERROR(K13/D13,"")</f>
        <v>0</v>
      </c>
    </row>
    <row r="14" customFormat="false" ht="15" hidden="false" customHeight="false" outlineLevel="0" collapsed="false">
      <c r="C14" s="10" t="n">
        <v>46273</v>
      </c>
      <c r="D14" s="11" t="n">
        <f aca="false">IF(WEEKDAY(C14,2)&gt;5,0,$I$4)</f>
        <v>3545.45454545455</v>
      </c>
      <c r="E14" s="12"/>
      <c r="F14" s="12"/>
      <c r="G14" s="12"/>
      <c r="H14" s="12"/>
      <c r="I14" s="12"/>
      <c r="J14" s="12"/>
      <c r="K14" s="13" t="n">
        <f aca="false">SUM(E14:J14)</f>
        <v>0</v>
      </c>
      <c r="L14" s="11" t="n">
        <f aca="false">L13+K14</f>
        <v>0</v>
      </c>
      <c r="M14" s="14" t="n">
        <f aca="false">IFERROR(K14/D14,"")</f>
        <v>0</v>
      </c>
    </row>
    <row r="15" customFormat="false" ht="15" hidden="false" customHeight="false" outlineLevel="0" collapsed="false">
      <c r="C15" s="10" t="n">
        <v>46274</v>
      </c>
      <c r="D15" s="11" t="n">
        <f aca="false">IF(WEEKDAY(C15,2)&gt;5,0,$I$4)</f>
        <v>3545.45454545455</v>
      </c>
      <c r="E15" s="12"/>
      <c r="F15" s="12"/>
      <c r="G15" s="12"/>
      <c r="H15" s="12"/>
      <c r="I15" s="12"/>
      <c r="J15" s="12"/>
      <c r="K15" s="13" t="n">
        <f aca="false">SUM(E15:J15)</f>
        <v>0</v>
      </c>
      <c r="L15" s="11" t="n">
        <f aca="false">L14+K15</f>
        <v>0</v>
      </c>
      <c r="M15" s="14" t="n">
        <f aca="false">IFERROR(K15/D15,"")</f>
        <v>0</v>
      </c>
    </row>
    <row r="16" customFormat="false" ht="15" hidden="false" customHeight="false" outlineLevel="0" collapsed="false">
      <c r="C16" s="10" t="n">
        <v>46275</v>
      </c>
      <c r="D16" s="11" t="n">
        <f aca="false">IF(WEEKDAY(C16,2)&gt;5,0,$I$4)</f>
        <v>3545.45454545455</v>
      </c>
      <c r="E16" s="12"/>
      <c r="F16" s="12"/>
      <c r="G16" s="12"/>
      <c r="H16" s="12"/>
      <c r="I16" s="12"/>
      <c r="J16" s="12"/>
      <c r="K16" s="13" t="n">
        <f aca="false">SUM(E16:J16)</f>
        <v>0</v>
      </c>
      <c r="L16" s="11" t="n">
        <f aca="false">L15+K16</f>
        <v>0</v>
      </c>
      <c r="M16" s="14" t="n">
        <f aca="false">IFERROR(K16/D16,"")</f>
        <v>0</v>
      </c>
    </row>
    <row r="17" customFormat="false" ht="15" hidden="false" customHeight="false" outlineLevel="0" collapsed="false">
      <c r="C17" s="10" t="n">
        <v>46276</v>
      </c>
      <c r="D17" s="11" t="n">
        <f aca="false">IF(WEEKDAY(C17,2)&gt;5,0,$I$4)</f>
        <v>3545.45454545455</v>
      </c>
      <c r="E17" s="12"/>
      <c r="F17" s="12"/>
      <c r="G17" s="12"/>
      <c r="H17" s="12"/>
      <c r="I17" s="12"/>
      <c r="J17" s="12"/>
      <c r="K17" s="13" t="n">
        <f aca="false">SUM(E17:J17)</f>
        <v>0</v>
      </c>
      <c r="L17" s="11" t="n">
        <f aca="false">L16+K17</f>
        <v>0</v>
      </c>
      <c r="M17" s="14" t="n">
        <f aca="false">IFERROR(K17/D17,"")</f>
        <v>0</v>
      </c>
    </row>
    <row r="18" customFormat="false" ht="15" hidden="false" customHeight="false" outlineLevel="0" collapsed="false">
      <c r="C18" s="15" t="n">
        <v>46277</v>
      </c>
      <c r="D18" s="16" t="n">
        <f aca="false">IF(WEEKDAY(C18,2)&gt;5,0,$I$4)</f>
        <v>0</v>
      </c>
      <c r="E18" s="17"/>
      <c r="F18" s="17"/>
      <c r="G18" s="17"/>
      <c r="H18" s="17"/>
      <c r="I18" s="17"/>
      <c r="J18" s="17"/>
      <c r="K18" s="18" t="n">
        <f aca="false">SUM(E18:J18)</f>
        <v>0</v>
      </c>
      <c r="L18" s="16" t="n">
        <f aca="false">L17+K18</f>
        <v>0</v>
      </c>
      <c r="M18" s="19" t="str">
        <f aca="false">IFERROR(K18/D18,"")</f>
        <v/>
      </c>
    </row>
    <row r="19" customFormat="false" ht="15" hidden="false" customHeight="false" outlineLevel="0" collapsed="false">
      <c r="C19" s="15" t="n">
        <v>46278</v>
      </c>
      <c r="D19" s="16" t="n">
        <f aca="false">IF(WEEKDAY(C19,2)&gt;5,0,$I$4)</f>
        <v>0</v>
      </c>
      <c r="E19" s="17"/>
      <c r="F19" s="17"/>
      <c r="G19" s="17"/>
      <c r="H19" s="17"/>
      <c r="I19" s="17"/>
      <c r="J19" s="17"/>
      <c r="K19" s="18" t="n">
        <f aca="false">SUM(E19:J19)</f>
        <v>0</v>
      </c>
      <c r="L19" s="16" t="n">
        <f aca="false">L18+K19</f>
        <v>0</v>
      </c>
      <c r="M19" s="19" t="str">
        <f aca="false">IFERROR(K19/D19,"")</f>
        <v/>
      </c>
    </row>
    <row r="20" customFormat="false" ht="15" hidden="false" customHeight="false" outlineLevel="0" collapsed="false">
      <c r="C20" s="10" t="n">
        <v>46279</v>
      </c>
      <c r="D20" s="11" t="n">
        <f aca="false">IF(WEEKDAY(C20,2)&gt;5,0,$I$4)</f>
        <v>3545.45454545455</v>
      </c>
      <c r="E20" s="12"/>
      <c r="F20" s="12"/>
      <c r="G20" s="12"/>
      <c r="H20" s="12"/>
      <c r="I20" s="12"/>
      <c r="J20" s="12"/>
      <c r="K20" s="13" t="n">
        <f aca="false">SUM(E20:J20)</f>
        <v>0</v>
      </c>
      <c r="L20" s="11" t="n">
        <f aca="false">L19+K20</f>
        <v>0</v>
      </c>
      <c r="M20" s="14" t="n">
        <f aca="false">IFERROR(K20/D20,"")</f>
        <v>0</v>
      </c>
    </row>
    <row r="21" customFormat="false" ht="15" hidden="false" customHeight="false" outlineLevel="0" collapsed="false">
      <c r="C21" s="10" t="n">
        <v>46280</v>
      </c>
      <c r="D21" s="11" t="n">
        <f aca="false">IF(WEEKDAY(C21,2)&gt;5,0,$I$4)</f>
        <v>3545.45454545455</v>
      </c>
      <c r="E21" s="12"/>
      <c r="F21" s="12"/>
      <c r="G21" s="12"/>
      <c r="H21" s="12"/>
      <c r="I21" s="12"/>
      <c r="J21" s="12"/>
      <c r="K21" s="13" t="n">
        <f aca="false">SUM(E21:J21)</f>
        <v>0</v>
      </c>
      <c r="L21" s="11" t="n">
        <f aca="false">L20+K21</f>
        <v>0</v>
      </c>
      <c r="M21" s="14" t="n">
        <f aca="false">IFERROR(K21/D21,"")</f>
        <v>0</v>
      </c>
    </row>
    <row r="22" customFormat="false" ht="15" hidden="false" customHeight="false" outlineLevel="0" collapsed="false">
      <c r="C22" s="10" t="n">
        <v>46281</v>
      </c>
      <c r="D22" s="11" t="n">
        <f aca="false">IF(WEEKDAY(C22,2)&gt;5,0,$I$4)</f>
        <v>3545.45454545455</v>
      </c>
      <c r="E22" s="12"/>
      <c r="F22" s="12"/>
      <c r="G22" s="12"/>
      <c r="H22" s="12"/>
      <c r="I22" s="12"/>
      <c r="J22" s="12"/>
      <c r="K22" s="13" t="n">
        <f aca="false">SUM(E22:J22)</f>
        <v>0</v>
      </c>
      <c r="L22" s="11" t="n">
        <f aca="false">L21+K22</f>
        <v>0</v>
      </c>
      <c r="M22" s="14" t="n">
        <f aca="false">IFERROR(K22/D22,"")</f>
        <v>0</v>
      </c>
    </row>
    <row r="23" customFormat="false" ht="15" hidden="false" customHeight="false" outlineLevel="0" collapsed="false">
      <c r="C23" s="10" t="n">
        <v>46282</v>
      </c>
      <c r="D23" s="11" t="n">
        <f aca="false">IF(WEEKDAY(C23,2)&gt;5,0,$I$4)</f>
        <v>3545.45454545455</v>
      </c>
      <c r="E23" s="12"/>
      <c r="F23" s="12"/>
      <c r="G23" s="12"/>
      <c r="H23" s="12"/>
      <c r="I23" s="12"/>
      <c r="J23" s="12"/>
      <c r="K23" s="13" t="n">
        <f aca="false">SUM(E23:J23)</f>
        <v>0</v>
      </c>
      <c r="L23" s="11" t="n">
        <f aca="false">L22+K23</f>
        <v>0</v>
      </c>
      <c r="M23" s="14" t="n">
        <f aca="false">IFERROR(K23/D23,"")</f>
        <v>0</v>
      </c>
    </row>
    <row r="24" customFormat="false" ht="15" hidden="false" customHeight="false" outlineLevel="0" collapsed="false">
      <c r="C24" s="10" t="n">
        <v>46283</v>
      </c>
      <c r="D24" s="11" t="n">
        <f aca="false">IF(WEEKDAY(C24,2)&gt;5,0,$I$4)</f>
        <v>3545.45454545455</v>
      </c>
      <c r="E24" s="12"/>
      <c r="F24" s="12"/>
      <c r="G24" s="12"/>
      <c r="H24" s="12"/>
      <c r="I24" s="12"/>
      <c r="J24" s="12"/>
      <c r="K24" s="13" t="n">
        <f aca="false">SUM(E24:J24)</f>
        <v>0</v>
      </c>
      <c r="L24" s="11" t="n">
        <f aca="false">L23+K24</f>
        <v>0</v>
      </c>
      <c r="M24" s="14" t="n">
        <f aca="false">IFERROR(K24/D24,"")</f>
        <v>0</v>
      </c>
    </row>
    <row r="25" customFormat="false" ht="15" hidden="false" customHeight="false" outlineLevel="0" collapsed="false">
      <c r="C25" s="15" t="n">
        <v>46284</v>
      </c>
      <c r="D25" s="16" t="n">
        <f aca="false">IF(WEEKDAY(C25,2)&gt;5,0,$I$4)</f>
        <v>0</v>
      </c>
      <c r="E25" s="17"/>
      <c r="F25" s="17"/>
      <c r="G25" s="17"/>
      <c r="H25" s="17"/>
      <c r="I25" s="17"/>
      <c r="J25" s="17"/>
      <c r="K25" s="18" t="n">
        <f aca="false">SUM(E25:J25)</f>
        <v>0</v>
      </c>
      <c r="L25" s="16" t="n">
        <f aca="false">L24+K25</f>
        <v>0</v>
      </c>
      <c r="M25" s="19" t="str">
        <f aca="false">IFERROR(K25/D25,"")</f>
        <v/>
      </c>
    </row>
    <row r="26" customFormat="false" ht="15" hidden="false" customHeight="false" outlineLevel="0" collapsed="false">
      <c r="C26" s="15" t="n">
        <v>46285</v>
      </c>
      <c r="D26" s="16" t="n">
        <f aca="false">IF(WEEKDAY(C26,2)&gt;5,0,$I$4)</f>
        <v>0</v>
      </c>
      <c r="E26" s="17"/>
      <c r="F26" s="17"/>
      <c r="G26" s="17"/>
      <c r="H26" s="17"/>
      <c r="I26" s="17"/>
      <c r="J26" s="17"/>
      <c r="K26" s="18" t="n">
        <f aca="false">SUM(E26:J26)</f>
        <v>0</v>
      </c>
      <c r="L26" s="16" t="n">
        <f aca="false">L25+K26</f>
        <v>0</v>
      </c>
      <c r="M26" s="19" t="str">
        <f aca="false">IFERROR(K26/D26,"")</f>
        <v/>
      </c>
    </row>
    <row r="27" customFormat="false" ht="15" hidden="false" customHeight="false" outlineLevel="0" collapsed="false">
      <c r="C27" s="10" t="n">
        <v>46286</v>
      </c>
      <c r="D27" s="11" t="n">
        <f aca="false">IF(WEEKDAY(C27,2)&gt;5,0,$I$4)</f>
        <v>3545.45454545455</v>
      </c>
      <c r="E27" s="12"/>
      <c r="F27" s="12"/>
      <c r="G27" s="12"/>
      <c r="H27" s="12"/>
      <c r="I27" s="12"/>
      <c r="J27" s="12"/>
      <c r="K27" s="13" t="n">
        <f aca="false">SUM(E27:J27)</f>
        <v>0</v>
      </c>
      <c r="L27" s="11" t="n">
        <f aca="false">L26+K27</f>
        <v>0</v>
      </c>
      <c r="M27" s="14" t="n">
        <f aca="false">IFERROR(K27/D27,"")</f>
        <v>0</v>
      </c>
    </row>
    <row r="28" customFormat="false" ht="15" hidden="false" customHeight="false" outlineLevel="0" collapsed="false">
      <c r="C28" s="10" t="n">
        <v>46287</v>
      </c>
      <c r="D28" s="11" t="n">
        <f aca="false">IF(WEEKDAY(C28,2)&gt;5,0,$I$4)</f>
        <v>3545.45454545455</v>
      </c>
      <c r="E28" s="12"/>
      <c r="F28" s="12"/>
      <c r="G28" s="12"/>
      <c r="H28" s="12"/>
      <c r="I28" s="12"/>
      <c r="J28" s="12"/>
      <c r="K28" s="13" t="n">
        <f aca="false">SUM(E28:J28)</f>
        <v>0</v>
      </c>
      <c r="L28" s="11" t="n">
        <f aca="false">L27+K28</f>
        <v>0</v>
      </c>
      <c r="M28" s="14" t="n">
        <f aca="false">IFERROR(K28/D28,"")</f>
        <v>0</v>
      </c>
    </row>
    <row r="29" customFormat="false" ht="15" hidden="false" customHeight="false" outlineLevel="0" collapsed="false">
      <c r="C29" s="10" t="n">
        <v>46288</v>
      </c>
      <c r="D29" s="11" t="n">
        <f aca="false">IF(WEEKDAY(C29,2)&gt;5,0,$I$4)</f>
        <v>3545.45454545455</v>
      </c>
      <c r="E29" s="12"/>
      <c r="F29" s="12"/>
      <c r="G29" s="12"/>
      <c r="H29" s="12"/>
      <c r="I29" s="12"/>
      <c r="J29" s="12"/>
      <c r="K29" s="13" t="n">
        <f aca="false">SUM(E29:J29)</f>
        <v>0</v>
      </c>
      <c r="L29" s="11" t="n">
        <f aca="false">L28+K29</f>
        <v>0</v>
      </c>
      <c r="M29" s="14" t="n">
        <f aca="false">IFERROR(K29/D29,"")</f>
        <v>0</v>
      </c>
    </row>
    <row r="30" customFormat="false" ht="15" hidden="false" customHeight="false" outlineLevel="0" collapsed="false">
      <c r="C30" s="10" t="n">
        <v>46289</v>
      </c>
      <c r="D30" s="11" t="n">
        <f aca="false">IF(WEEKDAY(C30,2)&gt;5,0,$I$4)</f>
        <v>3545.45454545455</v>
      </c>
      <c r="E30" s="12"/>
      <c r="F30" s="12"/>
      <c r="G30" s="12"/>
      <c r="H30" s="12"/>
      <c r="I30" s="12"/>
      <c r="J30" s="12"/>
      <c r="K30" s="13" t="n">
        <f aca="false">SUM(E30:J30)</f>
        <v>0</v>
      </c>
      <c r="L30" s="11" t="n">
        <f aca="false">L29+K30</f>
        <v>0</v>
      </c>
      <c r="M30" s="14" t="n">
        <f aca="false">IFERROR(K30/D30,"")</f>
        <v>0</v>
      </c>
    </row>
    <row r="31" customFormat="false" ht="15" hidden="false" customHeight="false" outlineLevel="0" collapsed="false">
      <c r="C31" s="10" t="n">
        <v>46290</v>
      </c>
      <c r="D31" s="11" t="n">
        <f aca="false">IF(WEEKDAY(C31,2)&gt;5,0,$I$4)</f>
        <v>3545.45454545455</v>
      </c>
      <c r="E31" s="12"/>
      <c r="F31" s="12"/>
      <c r="G31" s="12"/>
      <c r="H31" s="12"/>
      <c r="I31" s="12"/>
      <c r="J31" s="12"/>
      <c r="K31" s="13" t="n">
        <f aca="false">SUM(E31:J31)</f>
        <v>0</v>
      </c>
      <c r="L31" s="11" t="n">
        <f aca="false">L30+K31</f>
        <v>0</v>
      </c>
      <c r="M31" s="14" t="n">
        <f aca="false">IFERROR(K31/D31,"")</f>
        <v>0</v>
      </c>
    </row>
    <row r="32" customFormat="false" ht="15" hidden="false" customHeight="false" outlineLevel="0" collapsed="false">
      <c r="C32" s="15" t="n">
        <v>46291</v>
      </c>
      <c r="D32" s="16" t="n">
        <f aca="false">IF(WEEKDAY(C32,2)&gt;5,0,$I$4)</f>
        <v>0</v>
      </c>
      <c r="E32" s="17"/>
      <c r="F32" s="17"/>
      <c r="G32" s="17"/>
      <c r="H32" s="17"/>
      <c r="I32" s="17"/>
      <c r="J32" s="17"/>
      <c r="K32" s="18" t="n">
        <f aca="false">SUM(E32:J32)</f>
        <v>0</v>
      </c>
      <c r="L32" s="16" t="n">
        <f aca="false">L31+K32</f>
        <v>0</v>
      </c>
      <c r="M32" s="19" t="str">
        <f aca="false">IFERROR(K32/D32,"")</f>
        <v/>
      </c>
    </row>
    <row r="33" customFormat="false" ht="15" hidden="false" customHeight="false" outlineLevel="0" collapsed="false">
      <c r="C33" s="15" t="n">
        <v>46292</v>
      </c>
      <c r="D33" s="16" t="n">
        <f aca="false">IF(WEEKDAY(C33,2)&gt;5,0,$I$4)</f>
        <v>0</v>
      </c>
      <c r="E33" s="17"/>
      <c r="F33" s="17"/>
      <c r="G33" s="17"/>
      <c r="H33" s="17"/>
      <c r="I33" s="17"/>
      <c r="J33" s="17"/>
      <c r="K33" s="18" t="n">
        <f aca="false">SUM(E33:J33)</f>
        <v>0</v>
      </c>
      <c r="L33" s="16" t="n">
        <f aca="false">L32+K33</f>
        <v>0</v>
      </c>
      <c r="M33" s="19" t="str">
        <f aca="false">IFERROR(K33/D33,"")</f>
        <v/>
      </c>
    </row>
    <row r="34" customFormat="false" ht="15" hidden="false" customHeight="false" outlineLevel="0" collapsed="false">
      <c r="C34" s="10" t="n">
        <v>46293</v>
      </c>
      <c r="D34" s="11" t="n">
        <f aca="false">IF(WEEKDAY(C34,2)&gt;5,0,$I$4)</f>
        <v>3545.45454545455</v>
      </c>
      <c r="E34" s="12"/>
      <c r="F34" s="12"/>
      <c r="G34" s="12"/>
      <c r="H34" s="12"/>
      <c r="I34" s="12"/>
      <c r="J34" s="12"/>
      <c r="K34" s="13" t="n">
        <f aca="false">SUM(E34:J34)</f>
        <v>0</v>
      </c>
      <c r="L34" s="11" t="n">
        <f aca="false">L33+K34</f>
        <v>0</v>
      </c>
      <c r="M34" s="14" t="n">
        <f aca="false">IFERROR(K34/D34,"")</f>
        <v>0</v>
      </c>
    </row>
    <row r="35" customFormat="false" ht="15" hidden="false" customHeight="false" outlineLevel="0" collapsed="false">
      <c r="C35" s="10" t="n">
        <v>46294</v>
      </c>
      <c r="D35" s="11" t="n">
        <f aca="false">IF(WEEKDAY(C35,2)&gt;5,0,$I$4)</f>
        <v>3545.45454545455</v>
      </c>
      <c r="E35" s="12"/>
      <c r="F35" s="12"/>
      <c r="G35" s="12"/>
      <c r="H35" s="12"/>
      <c r="I35" s="12"/>
      <c r="J35" s="12"/>
      <c r="K35" s="13" t="n">
        <f aca="false">SUM(E35:J35)</f>
        <v>0</v>
      </c>
      <c r="L35" s="11" t="n">
        <f aca="false">L34+K35</f>
        <v>0</v>
      </c>
      <c r="M35" s="14" t="n">
        <f aca="false">IFERROR(K35/D35,"")</f>
        <v>0</v>
      </c>
    </row>
    <row r="36" customFormat="false" ht="15" hidden="false" customHeight="false" outlineLevel="0" collapsed="false">
      <c r="C36" s="10" t="n">
        <v>46295</v>
      </c>
      <c r="D36" s="11" t="n">
        <f aca="false">IF(WEEKDAY(C36,2)&gt;5,0,$I$4)</f>
        <v>3545.45454545455</v>
      </c>
      <c r="E36" s="12"/>
      <c r="F36" s="12"/>
      <c r="G36" s="12"/>
      <c r="H36" s="12"/>
      <c r="I36" s="12"/>
      <c r="J36" s="12"/>
      <c r="K36" s="13" t="n">
        <f aca="false">SUM(E36:J36)</f>
        <v>0</v>
      </c>
      <c r="L36" s="11" t="n">
        <f aca="false">L35+K36</f>
        <v>0</v>
      </c>
      <c r="M36" s="14" t="n">
        <f aca="false">IFERROR(K36/D36,"")</f>
        <v>0</v>
      </c>
    </row>
    <row r="37" customFormat="false" ht="15" hidden="false" customHeight="false" outlineLevel="0" collapsed="false">
      <c r="C37" s="20" t="s">
        <v>16</v>
      </c>
      <c r="D37" s="21" t="n">
        <f aca="false">SUM(D7:D36)</f>
        <v>78000</v>
      </c>
      <c r="E37" s="21" t="n">
        <f aca="false">SUM(E7:E36)</f>
        <v>0</v>
      </c>
      <c r="F37" s="21" t="n">
        <f aca="false">SUM(F7:F36)</f>
        <v>0</v>
      </c>
      <c r="G37" s="21" t="n">
        <f aca="false">SUM(G7:G36)</f>
        <v>0</v>
      </c>
      <c r="H37" s="21" t="n">
        <f aca="false">SUM(H7:H36)</f>
        <v>0</v>
      </c>
      <c r="I37" s="21" t="n">
        <f aca="false">SUM(I7:I36)</f>
        <v>0</v>
      </c>
      <c r="J37" s="21" t="n">
        <f aca="false">SUM(J7:J36)</f>
        <v>0</v>
      </c>
      <c r="K37" s="22" t="n">
        <f aca="false">SUM(K7:K36)</f>
        <v>0</v>
      </c>
      <c r="L37" s="21" t="n">
        <f aca="false">L36</f>
        <v>0</v>
      </c>
      <c r="M37" s="23" t="n">
        <f aca="false">IFERROR(K37/$D$4,0)</f>
        <v>0</v>
      </c>
    </row>
  </sheetData>
  <autoFilter ref="C6:M36"/>
  <mergeCells count="3">
    <mergeCell ref="C1:J1"/>
    <mergeCell ref="C2:J2"/>
    <mergeCell ref="G4:H4"/>
  </mergeCells>
  <conditionalFormatting sqref="M7:M37">
    <cfRule type="cellIs" priority="2" operator="greaterThanOrEqual" aboveAverage="0" equalAverage="0" bottom="0" percent="0" rank="0" text="" dxfId="8">
      <formula>1</formula>
    </cfRule>
    <cfRule type="cellIs" priority="3" operator="lessThan" aboveAverage="0" equalAverage="0" bottom="0" percent="0" rank="0" text="" dxfId="9">
      <formula>0.8</formula>
    </cfRule>
  </conditionalFormatting>
  <conditionalFormatting sqref="K7:K36">
    <cfRule type="dataBar" priority="4">
      <dataBar showValue="1" minLength="10" maxLength="90">
        <cfvo type="num" val="0"/>
        <cfvo type="max" val="0"/>
        <color rgb="FFC9C9C9"/>
      </dataBar>
      <extLst>
        <ext xmlns:x14="http://schemas.microsoft.com/office/spreadsheetml/2009/9/main" uri="{B025F937-C7B1-47D3-B67F-A62EFF666E3E}">
          <x14:id>{F2A5D054-A75F-4768-A355-722778B0AE30}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A5D054-A75F-4768-A355-722778B0AE30}">
            <x14:dataBar minLength="10" maxLength="90" axisPosition="none" gradient="true">
              <x14:cfvo type="num">
                <xm:f>0</xm:f>
              </x14:cfvo>
              <x14:cfvo type="max"/>
              <x14:negativeFillColor rgb="FFC9C9C9"/>
              <x14:axisColor rgb="FF000000"/>
            </x14:dataBar>
          </x14:cfRule>
          <xm:sqref>K7:K36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G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"/>
    <col collapsed="false" customWidth="true" hidden="false" outlineLevel="0" max="3" min="3" style="0" width="13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24" hidden="false" customHeight="true" outlineLevel="0" collapsed="false">
      <c r="C1" s="1" t="s">
        <v>17</v>
      </c>
      <c r="D1" s="1"/>
      <c r="E1" s="1"/>
      <c r="F1" s="1"/>
      <c r="G1" s="1"/>
    </row>
    <row r="2" customFormat="false" ht="15" hidden="false" customHeight="false" outlineLevel="0" collapsed="false">
      <c r="C2" s="2" t="s">
        <v>18</v>
      </c>
      <c r="D2" s="2"/>
      <c r="E2" s="2"/>
      <c r="F2" s="2"/>
      <c r="G2" s="2"/>
    </row>
    <row r="3" customFormat="false" ht="21.75" hidden="false" customHeight="true" outlineLevel="0" collapsed="false"/>
    <row r="5" customFormat="false" ht="21.75" hidden="false" customHeight="true" outlineLevel="0" collapsed="false">
      <c r="C5" s="24" t="s">
        <v>5</v>
      </c>
      <c r="D5" s="24" t="s">
        <v>19</v>
      </c>
      <c r="E5" s="24" t="s">
        <v>20</v>
      </c>
      <c r="F5" s="24" t="s">
        <v>21</v>
      </c>
      <c r="G5" s="24" t="s">
        <v>22</v>
      </c>
    </row>
    <row r="6" customFormat="false" ht="15" hidden="false" customHeight="false" outlineLevel="0" collapsed="false">
      <c r="C6" s="25"/>
      <c r="D6" s="26"/>
      <c r="E6" s="26"/>
      <c r="F6" s="12"/>
      <c r="G6" s="26"/>
    </row>
    <row r="7" customFormat="false" ht="15" hidden="false" customHeight="false" outlineLevel="0" collapsed="false">
      <c r="C7" s="25"/>
      <c r="D7" s="26"/>
      <c r="E7" s="26"/>
      <c r="F7" s="12"/>
      <c r="G7" s="26"/>
    </row>
    <row r="8" customFormat="false" ht="15" hidden="false" customHeight="false" outlineLevel="0" collapsed="false">
      <c r="C8" s="25"/>
      <c r="D8" s="26"/>
      <c r="E8" s="26"/>
      <c r="F8" s="12"/>
      <c r="G8" s="26"/>
    </row>
    <row r="9" customFormat="false" ht="15" hidden="false" customHeight="false" outlineLevel="0" collapsed="false">
      <c r="C9" s="25"/>
      <c r="D9" s="26"/>
      <c r="E9" s="26"/>
      <c r="F9" s="12"/>
      <c r="G9" s="26"/>
    </row>
    <row r="10" customFormat="false" ht="15" hidden="false" customHeight="false" outlineLevel="0" collapsed="false">
      <c r="C10" s="25"/>
      <c r="D10" s="26"/>
      <c r="E10" s="26"/>
      <c r="F10" s="12"/>
      <c r="G10" s="26"/>
    </row>
    <row r="11" customFormat="false" ht="15" hidden="false" customHeight="false" outlineLevel="0" collapsed="false">
      <c r="C11" s="25"/>
      <c r="D11" s="26"/>
      <c r="E11" s="26"/>
      <c r="F11" s="12"/>
      <c r="G11" s="26"/>
    </row>
    <row r="12" customFormat="false" ht="15" hidden="false" customHeight="false" outlineLevel="0" collapsed="false">
      <c r="C12" s="25"/>
      <c r="D12" s="26"/>
      <c r="E12" s="26"/>
      <c r="F12" s="12"/>
      <c r="G12" s="26"/>
    </row>
    <row r="13" customFormat="false" ht="15" hidden="false" customHeight="false" outlineLevel="0" collapsed="false">
      <c r="C13" s="25"/>
      <c r="D13" s="26"/>
      <c r="E13" s="26"/>
      <c r="F13" s="12"/>
      <c r="G13" s="26"/>
    </row>
    <row r="14" customFormat="false" ht="15" hidden="false" customHeight="false" outlineLevel="0" collapsed="false">
      <c r="C14" s="25"/>
      <c r="D14" s="26"/>
      <c r="E14" s="26"/>
      <c r="F14" s="12"/>
      <c r="G14" s="26"/>
    </row>
    <row r="15" customFormat="false" ht="15" hidden="false" customHeight="false" outlineLevel="0" collapsed="false">
      <c r="C15" s="25"/>
      <c r="D15" s="26"/>
      <c r="E15" s="26"/>
      <c r="F15" s="12"/>
      <c r="G15" s="26"/>
    </row>
    <row r="16" customFormat="false" ht="15" hidden="false" customHeight="false" outlineLevel="0" collapsed="false">
      <c r="C16" s="25"/>
      <c r="D16" s="26"/>
      <c r="E16" s="26"/>
      <c r="F16" s="12"/>
      <c r="G16" s="26"/>
    </row>
    <row r="17" customFormat="false" ht="15" hidden="false" customHeight="false" outlineLevel="0" collapsed="false">
      <c r="C17" s="25"/>
      <c r="D17" s="26"/>
      <c r="E17" s="26"/>
      <c r="F17" s="12"/>
      <c r="G17" s="26"/>
    </row>
    <row r="18" customFormat="false" ht="15" hidden="false" customHeight="false" outlineLevel="0" collapsed="false">
      <c r="C18" s="25"/>
      <c r="D18" s="26"/>
      <c r="E18" s="26"/>
      <c r="F18" s="12"/>
      <c r="G18" s="26"/>
    </row>
    <row r="19" customFormat="false" ht="15" hidden="false" customHeight="false" outlineLevel="0" collapsed="false">
      <c r="C19" s="25"/>
      <c r="D19" s="26"/>
      <c r="E19" s="26"/>
      <c r="F19" s="12"/>
      <c r="G19" s="26"/>
    </row>
    <row r="20" customFormat="false" ht="15" hidden="false" customHeight="false" outlineLevel="0" collapsed="false">
      <c r="C20" s="25"/>
      <c r="D20" s="26"/>
      <c r="E20" s="26"/>
      <c r="F20" s="12"/>
      <c r="G20" s="26"/>
    </row>
    <row r="21" customFormat="false" ht="15" hidden="false" customHeight="false" outlineLevel="0" collapsed="false">
      <c r="C21" s="25"/>
      <c r="D21" s="26"/>
      <c r="E21" s="26"/>
      <c r="F21" s="12"/>
      <c r="G21" s="26"/>
    </row>
    <row r="22" customFormat="false" ht="15" hidden="false" customHeight="false" outlineLevel="0" collapsed="false">
      <c r="C22" s="25"/>
      <c r="D22" s="26"/>
      <c r="E22" s="26"/>
      <c r="F22" s="12"/>
      <c r="G22" s="26"/>
    </row>
    <row r="23" customFormat="false" ht="15" hidden="false" customHeight="false" outlineLevel="0" collapsed="false">
      <c r="C23" s="25"/>
      <c r="D23" s="26"/>
      <c r="E23" s="26"/>
      <c r="F23" s="12"/>
      <c r="G23" s="26"/>
    </row>
    <row r="24" customFormat="false" ht="15" hidden="false" customHeight="false" outlineLevel="0" collapsed="false">
      <c r="C24" s="25"/>
      <c r="D24" s="26"/>
      <c r="E24" s="26"/>
      <c r="F24" s="12"/>
      <c r="G24" s="26"/>
    </row>
    <row r="25" customFormat="false" ht="15" hidden="false" customHeight="false" outlineLevel="0" collapsed="false">
      <c r="C25" s="25"/>
      <c r="D25" s="26"/>
      <c r="E25" s="26"/>
      <c r="F25" s="12"/>
      <c r="G25" s="26"/>
    </row>
    <row r="26" customFormat="false" ht="15" hidden="false" customHeight="false" outlineLevel="0" collapsed="false">
      <c r="C26" s="25"/>
      <c r="D26" s="26"/>
      <c r="E26" s="26"/>
      <c r="F26" s="12"/>
      <c r="G26" s="26"/>
    </row>
    <row r="27" customFormat="false" ht="15" hidden="false" customHeight="false" outlineLevel="0" collapsed="false">
      <c r="C27" s="25"/>
      <c r="D27" s="26"/>
      <c r="E27" s="26"/>
      <c r="F27" s="12"/>
      <c r="G27" s="26"/>
    </row>
    <row r="28" customFormat="false" ht="15" hidden="false" customHeight="false" outlineLevel="0" collapsed="false">
      <c r="C28" s="25"/>
      <c r="D28" s="26"/>
      <c r="E28" s="26"/>
      <c r="F28" s="12"/>
      <c r="G28" s="26"/>
    </row>
    <row r="29" customFormat="false" ht="15" hidden="false" customHeight="false" outlineLevel="0" collapsed="false">
      <c r="C29" s="25"/>
      <c r="D29" s="26"/>
      <c r="E29" s="26"/>
      <c r="F29" s="12"/>
      <c r="G29" s="26"/>
    </row>
    <row r="30" customFormat="false" ht="15" hidden="false" customHeight="false" outlineLevel="0" collapsed="false">
      <c r="C30" s="25"/>
      <c r="D30" s="26"/>
      <c r="E30" s="26"/>
      <c r="F30" s="12"/>
      <c r="G30" s="26"/>
    </row>
    <row r="31" customFormat="false" ht="15" hidden="false" customHeight="false" outlineLevel="0" collapsed="false">
      <c r="C31" s="25"/>
      <c r="D31" s="26"/>
      <c r="E31" s="26"/>
      <c r="F31" s="12"/>
      <c r="G31" s="26"/>
    </row>
    <row r="32" customFormat="false" ht="15" hidden="false" customHeight="false" outlineLevel="0" collapsed="false">
      <c r="C32" s="25"/>
      <c r="D32" s="26"/>
      <c r="E32" s="26"/>
      <c r="F32" s="12"/>
      <c r="G32" s="26"/>
    </row>
    <row r="33" customFormat="false" ht="15" hidden="false" customHeight="false" outlineLevel="0" collapsed="false">
      <c r="C33" s="25"/>
      <c r="D33" s="26"/>
      <c r="E33" s="26"/>
      <c r="F33" s="12"/>
      <c r="G33" s="26"/>
    </row>
    <row r="34" customFormat="false" ht="15" hidden="false" customHeight="false" outlineLevel="0" collapsed="false">
      <c r="C34" s="25"/>
      <c r="D34" s="26"/>
      <c r="E34" s="26"/>
      <c r="F34" s="12"/>
      <c r="G34" s="26"/>
    </row>
    <row r="35" customFormat="false" ht="15" hidden="false" customHeight="false" outlineLevel="0" collapsed="false">
      <c r="C35" s="25"/>
      <c r="D35" s="26"/>
      <c r="E35" s="26"/>
      <c r="F35" s="12"/>
      <c r="G35" s="26"/>
    </row>
    <row r="36" customFormat="false" ht="15" hidden="false" customHeight="false" outlineLevel="0" collapsed="false">
      <c r="C36" s="25"/>
      <c r="D36" s="26"/>
      <c r="E36" s="26"/>
      <c r="F36" s="12"/>
      <c r="G36" s="26"/>
    </row>
    <row r="37" customFormat="false" ht="15" hidden="false" customHeight="false" outlineLevel="0" collapsed="false">
      <c r="C37" s="25"/>
      <c r="D37" s="26"/>
      <c r="E37" s="26"/>
      <c r="F37" s="12"/>
      <c r="G37" s="26"/>
    </row>
    <row r="38" customFormat="false" ht="15" hidden="false" customHeight="false" outlineLevel="0" collapsed="false">
      <c r="C38" s="25"/>
      <c r="D38" s="26"/>
      <c r="E38" s="26"/>
      <c r="F38" s="12"/>
      <c r="G38" s="26"/>
    </row>
    <row r="39" customFormat="false" ht="15" hidden="false" customHeight="false" outlineLevel="0" collapsed="false">
      <c r="C39" s="25"/>
      <c r="D39" s="26"/>
      <c r="E39" s="26"/>
      <c r="F39" s="12"/>
      <c r="G39" s="26"/>
    </row>
    <row r="40" customFormat="false" ht="15" hidden="false" customHeight="false" outlineLevel="0" collapsed="false">
      <c r="C40" s="25"/>
      <c r="D40" s="26"/>
      <c r="E40" s="26"/>
      <c r="F40" s="12"/>
      <c r="G40" s="26"/>
    </row>
    <row r="41" customFormat="false" ht="15" hidden="false" customHeight="false" outlineLevel="0" collapsed="false">
      <c r="C41" s="25"/>
      <c r="D41" s="26"/>
      <c r="E41" s="26"/>
      <c r="F41" s="12"/>
      <c r="G41" s="26"/>
    </row>
    <row r="42" customFormat="false" ht="15" hidden="false" customHeight="false" outlineLevel="0" collapsed="false">
      <c r="C42" s="25"/>
      <c r="D42" s="26"/>
      <c r="E42" s="26"/>
      <c r="F42" s="12"/>
      <c r="G42" s="26"/>
    </row>
    <row r="43" customFormat="false" ht="15" hidden="false" customHeight="false" outlineLevel="0" collapsed="false">
      <c r="C43" s="25"/>
      <c r="D43" s="26"/>
      <c r="E43" s="26"/>
      <c r="F43" s="12"/>
      <c r="G43" s="26"/>
    </row>
    <row r="44" customFormat="false" ht="15" hidden="false" customHeight="false" outlineLevel="0" collapsed="false">
      <c r="C44" s="25"/>
      <c r="D44" s="26"/>
      <c r="E44" s="26"/>
      <c r="F44" s="12"/>
      <c r="G44" s="26"/>
    </row>
    <row r="45" customFormat="false" ht="15" hidden="false" customHeight="false" outlineLevel="0" collapsed="false">
      <c r="C45" s="25"/>
      <c r="D45" s="26"/>
      <c r="E45" s="26"/>
      <c r="F45" s="12"/>
      <c r="G45" s="26"/>
    </row>
    <row r="46" customFormat="false" ht="15" hidden="false" customHeight="false" outlineLevel="0" collapsed="false">
      <c r="C46" s="25"/>
      <c r="D46" s="26"/>
      <c r="E46" s="26"/>
      <c r="F46" s="12"/>
      <c r="G46" s="26"/>
    </row>
    <row r="47" customFormat="false" ht="15" hidden="false" customHeight="false" outlineLevel="0" collapsed="false">
      <c r="C47" s="25"/>
      <c r="D47" s="26"/>
      <c r="E47" s="26"/>
      <c r="F47" s="12"/>
      <c r="G47" s="26"/>
    </row>
    <row r="48" customFormat="false" ht="15" hidden="false" customHeight="false" outlineLevel="0" collapsed="false">
      <c r="C48" s="25"/>
      <c r="D48" s="26"/>
      <c r="E48" s="26"/>
      <c r="F48" s="12"/>
      <c r="G48" s="26"/>
    </row>
    <row r="49" customFormat="false" ht="15" hidden="false" customHeight="false" outlineLevel="0" collapsed="false">
      <c r="C49" s="25"/>
      <c r="D49" s="26"/>
      <c r="E49" s="26"/>
      <c r="F49" s="12"/>
      <c r="G49" s="26"/>
    </row>
    <row r="50" customFormat="false" ht="15" hidden="false" customHeight="false" outlineLevel="0" collapsed="false">
      <c r="C50" s="25"/>
      <c r="D50" s="26"/>
      <c r="E50" s="26"/>
      <c r="F50" s="12"/>
      <c r="G50" s="26"/>
    </row>
    <row r="51" customFormat="false" ht="15" hidden="false" customHeight="false" outlineLevel="0" collapsed="false">
      <c r="C51" s="25"/>
      <c r="D51" s="26"/>
      <c r="E51" s="26"/>
      <c r="F51" s="12"/>
      <c r="G51" s="26"/>
    </row>
    <row r="52" customFormat="false" ht="15" hidden="false" customHeight="false" outlineLevel="0" collapsed="false">
      <c r="C52" s="25"/>
      <c r="D52" s="26"/>
      <c r="E52" s="26"/>
      <c r="F52" s="12"/>
      <c r="G52" s="26"/>
    </row>
    <row r="53" customFormat="false" ht="15" hidden="false" customHeight="false" outlineLevel="0" collapsed="false">
      <c r="C53" s="25"/>
      <c r="D53" s="26"/>
      <c r="E53" s="26"/>
      <c r="F53" s="12"/>
      <c r="G53" s="26"/>
    </row>
    <row r="54" customFormat="false" ht="15" hidden="false" customHeight="false" outlineLevel="0" collapsed="false">
      <c r="C54" s="25"/>
      <c r="D54" s="26"/>
      <c r="E54" s="26"/>
      <c r="F54" s="12"/>
      <c r="G54" s="26"/>
    </row>
    <row r="55" customFormat="false" ht="15" hidden="false" customHeight="false" outlineLevel="0" collapsed="false">
      <c r="C55" s="25"/>
      <c r="D55" s="26"/>
      <c r="E55" s="26"/>
      <c r="F55" s="12"/>
      <c r="G55" s="26"/>
    </row>
    <row r="56" customFormat="false" ht="15" hidden="false" customHeight="false" outlineLevel="0" collapsed="false">
      <c r="C56" s="25"/>
      <c r="D56" s="26"/>
      <c r="E56" s="26"/>
      <c r="F56" s="12"/>
      <c r="G56" s="26"/>
    </row>
    <row r="57" customFormat="false" ht="15" hidden="false" customHeight="false" outlineLevel="0" collapsed="false">
      <c r="C57" s="25"/>
      <c r="D57" s="26"/>
      <c r="E57" s="26"/>
      <c r="F57" s="12"/>
      <c r="G57" s="26"/>
    </row>
    <row r="58" customFormat="false" ht="15" hidden="false" customHeight="false" outlineLevel="0" collapsed="false">
      <c r="C58" s="25"/>
      <c r="D58" s="26"/>
      <c r="E58" s="26"/>
      <c r="F58" s="12"/>
      <c r="G58" s="26"/>
    </row>
    <row r="59" customFormat="false" ht="15" hidden="false" customHeight="false" outlineLevel="0" collapsed="false">
      <c r="C59" s="25"/>
      <c r="D59" s="26"/>
      <c r="E59" s="26"/>
      <c r="F59" s="12"/>
      <c r="G59" s="26"/>
    </row>
    <row r="60" customFormat="false" ht="15" hidden="false" customHeight="false" outlineLevel="0" collapsed="false">
      <c r="C60" s="25"/>
      <c r="D60" s="26"/>
      <c r="E60" s="26"/>
      <c r="F60" s="12"/>
      <c r="G60" s="26"/>
    </row>
    <row r="61" customFormat="false" ht="15" hidden="false" customHeight="false" outlineLevel="0" collapsed="false">
      <c r="C61" s="25"/>
      <c r="D61" s="26"/>
      <c r="E61" s="26"/>
      <c r="F61" s="12"/>
      <c r="G61" s="26"/>
    </row>
    <row r="62" customFormat="false" ht="15" hidden="false" customHeight="false" outlineLevel="0" collapsed="false">
      <c r="C62" s="25"/>
      <c r="D62" s="26"/>
      <c r="E62" s="26"/>
      <c r="F62" s="12"/>
      <c r="G62" s="26"/>
    </row>
    <row r="63" customFormat="false" ht="15" hidden="false" customHeight="false" outlineLevel="0" collapsed="false">
      <c r="C63" s="25"/>
      <c r="D63" s="26"/>
      <c r="E63" s="26"/>
      <c r="F63" s="12"/>
      <c r="G63" s="26"/>
    </row>
    <row r="64" customFormat="false" ht="15" hidden="false" customHeight="false" outlineLevel="0" collapsed="false">
      <c r="C64" s="25"/>
      <c r="D64" s="26"/>
      <c r="E64" s="26"/>
      <c r="F64" s="12"/>
      <c r="G64" s="26"/>
    </row>
    <row r="65" customFormat="false" ht="15" hidden="false" customHeight="false" outlineLevel="0" collapsed="false">
      <c r="C65" s="25"/>
      <c r="D65" s="26"/>
      <c r="E65" s="26"/>
      <c r="F65" s="12"/>
      <c r="G65" s="26"/>
    </row>
    <row r="66" customFormat="false" ht="15" hidden="false" customHeight="false" outlineLevel="0" collapsed="false">
      <c r="C66" s="25"/>
      <c r="D66" s="26"/>
      <c r="E66" s="26"/>
      <c r="F66" s="12"/>
      <c r="G66" s="26"/>
    </row>
    <row r="67" customFormat="false" ht="15" hidden="false" customHeight="false" outlineLevel="0" collapsed="false">
      <c r="C67" s="25"/>
      <c r="D67" s="26"/>
      <c r="E67" s="26"/>
      <c r="F67" s="12"/>
      <c r="G67" s="26"/>
    </row>
    <row r="68" customFormat="false" ht="15" hidden="false" customHeight="false" outlineLevel="0" collapsed="false">
      <c r="C68" s="25"/>
      <c r="D68" s="26"/>
      <c r="E68" s="26"/>
      <c r="F68" s="12"/>
      <c r="G68" s="26"/>
    </row>
    <row r="69" customFormat="false" ht="15" hidden="false" customHeight="false" outlineLevel="0" collapsed="false">
      <c r="C69" s="25"/>
      <c r="D69" s="26"/>
      <c r="E69" s="26"/>
      <c r="F69" s="12"/>
      <c r="G69" s="26"/>
    </row>
    <row r="70" customFormat="false" ht="15" hidden="false" customHeight="false" outlineLevel="0" collapsed="false">
      <c r="C70" s="25"/>
      <c r="D70" s="26"/>
      <c r="E70" s="26"/>
      <c r="F70" s="12"/>
      <c r="G70" s="26"/>
    </row>
    <row r="71" customFormat="false" ht="15" hidden="false" customHeight="false" outlineLevel="0" collapsed="false">
      <c r="C71" s="25"/>
      <c r="D71" s="26"/>
      <c r="E71" s="26"/>
      <c r="F71" s="12"/>
      <c r="G71" s="26"/>
    </row>
    <row r="72" customFormat="false" ht="15" hidden="false" customHeight="false" outlineLevel="0" collapsed="false">
      <c r="C72" s="25"/>
      <c r="D72" s="26"/>
      <c r="E72" s="26"/>
      <c r="F72" s="12"/>
      <c r="G72" s="26"/>
    </row>
    <row r="73" customFormat="false" ht="15" hidden="false" customHeight="false" outlineLevel="0" collapsed="false">
      <c r="C73" s="25"/>
      <c r="D73" s="26"/>
      <c r="E73" s="26"/>
      <c r="F73" s="12"/>
      <c r="G73" s="26"/>
    </row>
    <row r="74" customFormat="false" ht="15" hidden="false" customHeight="false" outlineLevel="0" collapsed="false">
      <c r="C74" s="25"/>
      <c r="D74" s="26"/>
      <c r="E74" s="26"/>
      <c r="F74" s="12"/>
      <c r="G74" s="26"/>
    </row>
    <row r="75" customFormat="false" ht="15" hidden="false" customHeight="false" outlineLevel="0" collapsed="false">
      <c r="C75" s="25"/>
      <c r="D75" s="26"/>
      <c r="E75" s="26"/>
      <c r="F75" s="12"/>
      <c r="G75" s="26"/>
    </row>
    <row r="76" customFormat="false" ht="15" hidden="false" customHeight="false" outlineLevel="0" collapsed="false">
      <c r="C76" s="25"/>
      <c r="D76" s="26"/>
      <c r="E76" s="26"/>
      <c r="F76" s="12"/>
      <c r="G76" s="26"/>
    </row>
    <row r="77" customFormat="false" ht="15" hidden="false" customHeight="false" outlineLevel="0" collapsed="false">
      <c r="C77" s="25"/>
      <c r="D77" s="26"/>
      <c r="E77" s="26"/>
      <c r="F77" s="12"/>
      <c r="G77" s="26"/>
    </row>
    <row r="78" customFormat="false" ht="15" hidden="false" customHeight="false" outlineLevel="0" collapsed="false">
      <c r="C78" s="25"/>
      <c r="D78" s="26"/>
      <c r="E78" s="26"/>
      <c r="F78" s="12"/>
      <c r="G78" s="26"/>
    </row>
    <row r="79" customFormat="false" ht="15" hidden="false" customHeight="false" outlineLevel="0" collapsed="false">
      <c r="C79" s="25"/>
      <c r="D79" s="26"/>
      <c r="E79" s="26"/>
      <c r="F79" s="12"/>
      <c r="G79" s="26"/>
    </row>
    <row r="80" customFormat="false" ht="15" hidden="false" customHeight="false" outlineLevel="0" collapsed="false">
      <c r="C80" s="25"/>
      <c r="D80" s="26"/>
      <c r="E80" s="26"/>
      <c r="F80" s="12"/>
      <c r="G80" s="26"/>
    </row>
    <row r="81" customFormat="false" ht="15" hidden="false" customHeight="false" outlineLevel="0" collapsed="false">
      <c r="C81" s="25"/>
      <c r="D81" s="26"/>
      <c r="E81" s="26"/>
      <c r="F81" s="12"/>
      <c r="G81" s="26"/>
    </row>
    <row r="82" customFormat="false" ht="15" hidden="false" customHeight="false" outlineLevel="0" collapsed="false">
      <c r="C82" s="25"/>
      <c r="D82" s="26"/>
      <c r="E82" s="26"/>
      <c r="F82" s="12"/>
      <c r="G82" s="26"/>
    </row>
    <row r="83" customFormat="false" ht="15" hidden="false" customHeight="false" outlineLevel="0" collapsed="false">
      <c r="C83" s="25"/>
      <c r="D83" s="26"/>
      <c r="E83" s="26"/>
      <c r="F83" s="12"/>
      <c r="G83" s="26"/>
    </row>
    <row r="84" customFormat="false" ht="15" hidden="false" customHeight="false" outlineLevel="0" collapsed="false">
      <c r="C84" s="25"/>
      <c r="D84" s="26"/>
      <c r="E84" s="26"/>
      <c r="F84" s="12"/>
      <c r="G84" s="26"/>
    </row>
    <row r="85" customFormat="false" ht="15" hidden="false" customHeight="false" outlineLevel="0" collapsed="false">
      <c r="C85" s="25"/>
      <c r="D85" s="26"/>
      <c r="E85" s="26"/>
      <c r="F85" s="12"/>
      <c r="G85" s="26"/>
    </row>
    <row r="86" customFormat="false" ht="15" hidden="false" customHeight="false" outlineLevel="0" collapsed="false">
      <c r="C86" s="25"/>
      <c r="D86" s="26"/>
      <c r="E86" s="26"/>
      <c r="F86" s="12"/>
      <c r="G86" s="26"/>
    </row>
    <row r="87" customFormat="false" ht="15" hidden="false" customHeight="false" outlineLevel="0" collapsed="false">
      <c r="C87" s="25"/>
      <c r="D87" s="26"/>
      <c r="E87" s="26"/>
      <c r="F87" s="12"/>
      <c r="G87" s="26"/>
    </row>
    <row r="88" customFormat="false" ht="15" hidden="false" customHeight="false" outlineLevel="0" collapsed="false">
      <c r="C88" s="25"/>
      <c r="D88" s="26"/>
      <c r="E88" s="26"/>
      <c r="F88" s="12"/>
      <c r="G88" s="26"/>
    </row>
    <row r="89" customFormat="false" ht="15" hidden="false" customHeight="false" outlineLevel="0" collapsed="false">
      <c r="C89" s="25"/>
      <c r="D89" s="26"/>
      <c r="E89" s="26"/>
      <c r="F89" s="12"/>
      <c r="G89" s="26"/>
    </row>
    <row r="90" customFormat="false" ht="15" hidden="false" customHeight="false" outlineLevel="0" collapsed="false">
      <c r="C90" s="25"/>
      <c r="D90" s="26"/>
      <c r="E90" s="26"/>
      <c r="F90" s="12"/>
      <c r="G90" s="26"/>
    </row>
    <row r="91" customFormat="false" ht="15" hidden="false" customHeight="false" outlineLevel="0" collapsed="false">
      <c r="C91" s="25"/>
      <c r="D91" s="26"/>
      <c r="E91" s="26"/>
      <c r="F91" s="12"/>
      <c r="G91" s="26"/>
    </row>
    <row r="92" customFormat="false" ht="15" hidden="false" customHeight="false" outlineLevel="0" collapsed="false">
      <c r="C92" s="25"/>
      <c r="D92" s="26"/>
      <c r="E92" s="26"/>
      <c r="F92" s="12"/>
      <c r="G92" s="26"/>
    </row>
    <row r="93" customFormat="false" ht="15" hidden="false" customHeight="false" outlineLevel="0" collapsed="false">
      <c r="C93" s="25"/>
      <c r="D93" s="26"/>
      <c r="E93" s="26"/>
      <c r="F93" s="12"/>
      <c r="G93" s="26"/>
    </row>
    <row r="94" customFormat="false" ht="15" hidden="false" customHeight="false" outlineLevel="0" collapsed="false">
      <c r="C94" s="25"/>
      <c r="D94" s="26"/>
      <c r="E94" s="26"/>
      <c r="F94" s="12"/>
      <c r="G94" s="26"/>
    </row>
    <row r="95" customFormat="false" ht="15" hidden="false" customHeight="false" outlineLevel="0" collapsed="false">
      <c r="C95" s="25"/>
      <c r="D95" s="26"/>
      <c r="E95" s="26"/>
      <c r="F95" s="12"/>
      <c r="G95" s="26"/>
    </row>
    <row r="96" customFormat="false" ht="15" hidden="false" customHeight="false" outlineLevel="0" collapsed="false">
      <c r="C96" s="25"/>
      <c r="D96" s="26"/>
      <c r="E96" s="26"/>
      <c r="F96" s="12"/>
      <c r="G96" s="26"/>
    </row>
    <row r="97" customFormat="false" ht="15" hidden="false" customHeight="false" outlineLevel="0" collapsed="false">
      <c r="C97" s="25"/>
      <c r="D97" s="26"/>
      <c r="E97" s="26"/>
      <c r="F97" s="12"/>
      <c r="G97" s="26"/>
    </row>
    <row r="98" customFormat="false" ht="15" hidden="false" customHeight="false" outlineLevel="0" collapsed="false">
      <c r="C98" s="25"/>
      <c r="D98" s="26"/>
      <c r="E98" s="26"/>
      <c r="F98" s="12"/>
      <c r="G98" s="26"/>
    </row>
    <row r="99" customFormat="false" ht="15" hidden="false" customHeight="false" outlineLevel="0" collapsed="false">
      <c r="C99" s="25"/>
      <c r="D99" s="26"/>
      <c r="E99" s="26"/>
      <c r="F99" s="12"/>
      <c r="G99" s="26"/>
    </row>
    <row r="100" customFormat="false" ht="15" hidden="false" customHeight="false" outlineLevel="0" collapsed="false">
      <c r="C100" s="25"/>
      <c r="D100" s="26"/>
      <c r="E100" s="26"/>
      <c r="F100" s="12"/>
      <c r="G100" s="26"/>
    </row>
    <row r="101" customFormat="false" ht="15" hidden="false" customHeight="false" outlineLevel="0" collapsed="false">
      <c r="C101" s="25"/>
      <c r="D101" s="26"/>
      <c r="E101" s="26"/>
      <c r="F101" s="12"/>
      <c r="G101" s="26"/>
    </row>
    <row r="102" customFormat="false" ht="15" hidden="false" customHeight="false" outlineLevel="0" collapsed="false">
      <c r="C102" s="25"/>
      <c r="D102" s="26"/>
      <c r="E102" s="26"/>
      <c r="F102" s="12"/>
      <c r="G102" s="26"/>
    </row>
    <row r="103" customFormat="false" ht="15" hidden="false" customHeight="false" outlineLevel="0" collapsed="false">
      <c r="C103" s="25"/>
      <c r="D103" s="26"/>
      <c r="E103" s="26"/>
      <c r="F103" s="12"/>
      <c r="G103" s="26"/>
    </row>
    <row r="104" customFormat="false" ht="15" hidden="false" customHeight="false" outlineLevel="0" collapsed="false">
      <c r="C104" s="25"/>
      <c r="D104" s="26"/>
      <c r="E104" s="26"/>
      <c r="F104" s="12"/>
      <c r="G104" s="26"/>
    </row>
    <row r="105" customFormat="false" ht="15" hidden="false" customHeight="false" outlineLevel="0" collapsed="false">
      <c r="C105" s="25"/>
      <c r="D105" s="26"/>
      <c r="E105" s="26"/>
      <c r="F105" s="12"/>
      <c r="G105" s="26"/>
    </row>
    <row r="106" customFormat="false" ht="15" hidden="false" customHeight="false" outlineLevel="0" collapsed="false">
      <c r="C106" s="25"/>
      <c r="D106" s="26"/>
      <c r="E106" s="26"/>
      <c r="F106" s="12"/>
      <c r="G106" s="26"/>
    </row>
    <row r="107" customFormat="false" ht="15" hidden="false" customHeight="false" outlineLevel="0" collapsed="false">
      <c r="C107" s="25"/>
      <c r="D107" s="26"/>
      <c r="E107" s="26"/>
      <c r="F107" s="12"/>
      <c r="G107" s="26"/>
    </row>
    <row r="108" customFormat="false" ht="15" hidden="false" customHeight="false" outlineLevel="0" collapsed="false">
      <c r="C108" s="25"/>
      <c r="D108" s="26"/>
      <c r="E108" s="26"/>
      <c r="F108" s="12"/>
      <c r="G108" s="26"/>
    </row>
    <row r="109" customFormat="false" ht="15" hidden="false" customHeight="false" outlineLevel="0" collapsed="false">
      <c r="C109" s="25"/>
      <c r="D109" s="26"/>
      <c r="E109" s="26"/>
      <c r="F109" s="12"/>
      <c r="G109" s="26"/>
    </row>
    <row r="110" customFormat="false" ht="15" hidden="false" customHeight="false" outlineLevel="0" collapsed="false">
      <c r="C110" s="25"/>
      <c r="D110" s="26"/>
      <c r="E110" s="26"/>
      <c r="F110" s="12"/>
      <c r="G110" s="26"/>
    </row>
    <row r="111" customFormat="false" ht="15" hidden="false" customHeight="false" outlineLevel="0" collapsed="false">
      <c r="C111" s="25"/>
      <c r="D111" s="26"/>
      <c r="E111" s="26"/>
      <c r="F111" s="12"/>
      <c r="G111" s="26"/>
    </row>
    <row r="112" customFormat="false" ht="15" hidden="false" customHeight="false" outlineLevel="0" collapsed="false">
      <c r="C112" s="25"/>
      <c r="D112" s="26"/>
      <c r="E112" s="26"/>
      <c r="F112" s="12"/>
      <c r="G112" s="26"/>
    </row>
    <row r="113" customFormat="false" ht="15" hidden="false" customHeight="false" outlineLevel="0" collapsed="false">
      <c r="C113" s="25"/>
      <c r="D113" s="26"/>
      <c r="E113" s="26"/>
      <c r="F113" s="12"/>
      <c r="G113" s="26"/>
    </row>
    <row r="114" customFormat="false" ht="15" hidden="false" customHeight="false" outlineLevel="0" collapsed="false">
      <c r="C114" s="25"/>
      <c r="D114" s="26"/>
      <c r="E114" s="26"/>
      <c r="F114" s="12"/>
      <c r="G114" s="26"/>
    </row>
    <row r="115" customFormat="false" ht="15" hidden="false" customHeight="false" outlineLevel="0" collapsed="false">
      <c r="C115" s="25"/>
      <c r="D115" s="26"/>
      <c r="E115" s="26"/>
      <c r="F115" s="12"/>
      <c r="G115" s="26"/>
    </row>
    <row r="116" customFormat="false" ht="15" hidden="false" customHeight="false" outlineLevel="0" collapsed="false">
      <c r="C116" s="25"/>
      <c r="D116" s="26"/>
      <c r="E116" s="26"/>
      <c r="F116" s="12"/>
      <c r="G116" s="26"/>
    </row>
    <row r="117" customFormat="false" ht="15" hidden="false" customHeight="false" outlineLevel="0" collapsed="false">
      <c r="C117" s="25"/>
      <c r="D117" s="26"/>
      <c r="E117" s="26"/>
      <c r="F117" s="12"/>
      <c r="G117" s="26"/>
    </row>
    <row r="118" customFormat="false" ht="15" hidden="false" customHeight="false" outlineLevel="0" collapsed="false">
      <c r="C118" s="25"/>
      <c r="D118" s="26"/>
      <c r="E118" s="26"/>
      <c r="F118" s="12"/>
      <c r="G118" s="26"/>
    </row>
    <row r="119" customFormat="false" ht="15" hidden="false" customHeight="false" outlineLevel="0" collapsed="false">
      <c r="C119" s="25"/>
      <c r="D119" s="26"/>
      <c r="E119" s="26"/>
      <c r="F119" s="12"/>
      <c r="G119" s="26"/>
    </row>
    <row r="120" customFormat="false" ht="15" hidden="false" customHeight="false" outlineLevel="0" collapsed="false">
      <c r="C120" s="25"/>
      <c r="D120" s="26"/>
      <c r="E120" s="26"/>
      <c r="F120" s="12"/>
      <c r="G120" s="26"/>
    </row>
    <row r="121" customFormat="false" ht="15" hidden="false" customHeight="false" outlineLevel="0" collapsed="false">
      <c r="C121" s="25"/>
      <c r="D121" s="26"/>
      <c r="E121" s="26"/>
      <c r="F121" s="12"/>
      <c r="G121" s="26"/>
    </row>
    <row r="122" customFormat="false" ht="15" hidden="false" customHeight="false" outlineLevel="0" collapsed="false">
      <c r="C122" s="25"/>
      <c r="D122" s="26"/>
      <c r="E122" s="26"/>
      <c r="F122" s="12"/>
      <c r="G122" s="26"/>
    </row>
    <row r="123" customFormat="false" ht="15" hidden="false" customHeight="false" outlineLevel="0" collapsed="false">
      <c r="C123" s="25"/>
      <c r="D123" s="26"/>
      <c r="E123" s="26"/>
      <c r="F123" s="12"/>
      <c r="G123" s="26"/>
    </row>
    <row r="124" customFormat="false" ht="15" hidden="false" customHeight="false" outlineLevel="0" collapsed="false">
      <c r="C124" s="25"/>
      <c r="D124" s="26"/>
      <c r="E124" s="26"/>
      <c r="F124" s="12"/>
      <c r="G124" s="26"/>
    </row>
    <row r="125" customFormat="false" ht="15" hidden="false" customHeight="false" outlineLevel="0" collapsed="false">
      <c r="C125" s="25"/>
      <c r="D125" s="26"/>
      <c r="E125" s="26"/>
      <c r="F125" s="12"/>
      <c r="G125" s="26"/>
    </row>
    <row r="126" customFormat="false" ht="15" hidden="false" customHeight="false" outlineLevel="0" collapsed="false">
      <c r="C126" s="25"/>
      <c r="D126" s="26"/>
      <c r="E126" s="26"/>
      <c r="F126" s="12"/>
      <c r="G126" s="26"/>
    </row>
    <row r="127" customFormat="false" ht="15" hidden="false" customHeight="false" outlineLevel="0" collapsed="false">
      <c r="C127" s="25"/>
      <c r="D127" s="26"/>
      <c r="E127" s="26"/>
      <c r="F127" s="12"/>
      <c r="G127" s="26"/>
    </row>
    <row r="128" customFormat="false" ht="15" hidden="false" customHeight="false" outlineLevel="0" collapsed="false">
      <c r="C128" s="25"/>
      <c r="D128" s="26"/>
      <c r="E128" s="26"/>
      <c r="F128" s="12"/>
      <c r="G128" s="26"/>
    </row>
    <row r="129" customFormat="false" ht="15" hidden="false" customHeight="false" outlineLevel="0" collapsed="false">
      <c r="C129" s="25"/>
      <c r="D129" s="26"/>
      <c r="E129" s="26"/>
      <c r="F129" s="12"/>
      <c r="G129" s="26"/>
    </row>
    <row r="130" customFormat="false" ht="15" hidden="false" customHeight="false" outlineLevel="0" collapsed="false">
      <c r="C130" s="25"/>
      <c r="D130" s="26"/>
      <c r="E130" s="26"/>
      <c r="F130" s="12"/>
      <c r="G130" s="26"/>
    </row>
    <row r="131" customFormat="false" ht="15" hidden="false" customHeight="false" outlineLevel="0" collapsed="false">
      <c r="C131" s="25"/>
      <c r="D131" s="26"/>
      <c r="E131" s="26"/>
      <c r="F131" s="12"/>
      <c r="G131" s="26"/>
    </row>
    <row r="132" customFormat="false" ht="15" hidden="false" customHeight="false" outlineLevel="0" collapsed="false">
      <c r="C132" s="25"/>
      <c r="D132" s="26"/>
      <c r="E132" s="26"/>
      <c r="F132" s="12"/>
      <c r="G132" s="26"/>
    </row>
    <row r="133" customFormat="false" ht="15" hidden="false" customHeight="false" outlineLevel="0" collapsed="false">
      <c r="C133" s="25"/>
      <c r="D133" s="26"/>
      <c r="E133" s="26"/>
      <c r="F133" s="12"/>
      <c r="G133" s="26"/>
    </row>
    <row r="134" customFormat="false" ht="15" hidden="false" customHeight="false" outlineLevel="0" collapsed="false">
      <c r="C134" s="25"/>
      <c r="D134" s="26"/>
      <c r="E134" s="26"/>
      <c r="F134" s="12"/>
      <c r="G134" s="26"/>
    </row>
    <row r="135" customFormat="false" ht="15" hidden="false" customHeight="false" outlineLevel="0" collapsed="false">
      <c r="C135" s="25"/>
      <c r="D135" s="26"/>
      <c r="E135" s="26"/>
      <c r="F135" s="12"/>
      <c r="G135" s="26"/>
    </row>
    <row r="136" customFormat="false" ht="15" hidden="false" customHeight="false" outlineLevel="0" collapsed="false">
      <c r="C136" s="25"/>
      <c r="D136" s="26"/>
      <c r="E136" s="26"/>
      <c r="F136" s="12"/>
      <c r="G136" s="26"/>
    </row>
    <row r="137" customFormat="false" ht="15" hidden="false" customHeight="false" outlineLevel="0" collapsed="false">
      <c r="C137" s="25"/>
      <c r="D137" s="26"/>
      <c r="E137" s="26"/>
      <c r="F137" s="12"/>
      <c r="G137" s="26"/>
    </row>
    <row r="138" customFormat="false" ht="15" hidden="false" customHeight="false" outlineLevel="0" collapsed="false">
      <c r="C138" s="25"/>
      <c r="D138" s="26"/>
      <c r="E138" s="26"/>
      <c r="F138" s="12"/>
      <c r="G138" s="26"/>
    </row>
    <row r="139" customFormat="false" ht="15" hidden="false" customHeight="false" outlineLevel="0" collapsed="false">
      <c r="C139" s="25"/>
      <c r="D139" s="26"/>
      <c r="E139" s="26"/>
      <c r="F139" s="12"/>
      <c r="G139" s="26"/>
    </row>
    <row r="140" customFormat="false" ht="15" hidden="false" customHeight="false" outlineLevel="0" collapsed="false">
      <c r="C140" s="25"/>
      <c r="D140" s="26"/>
      <c r="E140" s="26"/>
      <c r="F140" s="12"/>
      <c r="G140" s="26"/>
    </row>
    <row r="141" customFormat="false" ht="15" hidden="false" customHeight="false" outlineLevel="0" collapsed="false">
      <c r="C141" s="25"/>
      <c r="D141" s="26"/>
      <c r="E141" s="26"/>
      <c r="F141" s="12"/>
      <c r="G141" s="26"/>
    </row>
    <row r="142" customFormat="false" ht="15" hidden="false" customHeight="false" outlineLevel="0" collapsed="false">
      <c r="C142" s="25"/>
      <c r="D142" s="26"/>
      <c r="E142" s="26"/>
      <c r="F142" s="12"/>
      <c r="G142" s="26"/>
    </row>
    <row r="143" customFormat="false" ht="15" hidden="false" customHeight="false" outlineLevel="0" collapsed="false">
      <c r="C143" s="25"/>
      <c r="D143" s="26"/>
      <c r="E143" s="26"/>
      <c r="F143" s="12"/>
      <c r="G143" s="26"/>
    </row>
    <row r="144" customFormat="false" ht="15" hidden="false" customHeight="false" outlineLevel="0" collapsed="false">
      <c r="C144" s="25"/>
      <c r="D144" s="26"/>
      <c r="E144" s="26"/>
      <c r="F144" s="12"/>
      <c r="G144" s="26"/>
    </row>
    <row r="145" customFormat="false" ht="15" hidden="false" customHeight="false" outlineLevel="0" collapsed="false">
      <c r="C145" s="25"/>
      <c r="D145" s="26"/>
      <c r="E145" s="26"/>
      <c r="F145" s="12"/>
      <c r="G145" s="26"/>
    </row>
    <row r="146" customFormat="false" ht="15" hidden="false" customHeight="false" outlineLevel="0" collapsed="false">
      <c r="C146" s="25"/>
      <c r="D146" s="26"/>
      <c r="E146" s="26"/>
      <c r="F146" s="12"/>
      <c r="G146" s="26"/>
    </row>
    <row r="147" customFormat="false" ht="15" hidden="false" customHeight="false" outlineLevel="0" collapsed="false">
      <c r="C147" s="25"/>
      <c r="D147" s="26"/>
      <c r="E147" s="26"/>
      <c r="F147" s="12"/>
      <c r="G147" s="26"/>
    </row>
    <row r="148" customFormat="false" ht="15" hidden="false" customHeight="false" outlineLevel="0" collapsed="false">
      <c r="C148" s="25"/>
      <c r="D148" s="26"/>
      <c r="E148" s="26"/>
      <c r="F148" s="12"/>
      <c r="G148" s="26"/>
    </row>
    <row r="149" customFormat="false" ht="15" hidden="false" customHeight="false" outlineLevel="0" collapsed="false">
      <c r="C149" s="25"/>
      <c r="D149" s="26"/>
      <c r="E149" s="26"/>
      <c r="F149" s="12"/>
      <c r="G149" s="26"/>
    </row>
    <row r="150" customFormat="false" ht="15" hidden="false" customHeight="false" outlineLevel="0" collapsed="false">
      <c r="C150" s="25"/>
      <c r="D150" s="26"/>
      <c r="E150" s="26"/>
      <c r="F150" s="12"/>
      <c r="G150" s="26"/>
    </row>
    <row r="151" customFormat="false" ht="15" hidden="false" customHeight="false" outlineLevel="0" collapsed="false">
      <c r="C151" s="25"/>
      <c r="D151" s="26"/>
      <c r="E151" s="26"/>
      <c r="F151" s="12"/>
      <c r="G151" s="26"/>
    </row>
    <row r="152" customFormat="false" ht="15" hidden="false" customHeight="false" outlineLevel="0" collapsed="false">
      <c r="C152" s="25"/>
      <c r="D152" s="26"/>
      <c r="E152" s="26"/>
      <c r="F152" s="12"/>
      <c r="G152" s="26"/>
    </row>
    <row r="153" customFormat="false" ht="15" hidden="false" customHeight="false" outlineLevel="0" collapsed="false">
      <c r="C153" s="25"/>
      <c r="D153" s="26"/>
      <c r="E153" s="26"/>
      <c r="F153" s="12"/>
      <c r="G153" s="26"/>
    </row>
    <row r="154" customFormat="false" ht="15" hidden="false" customHeight="false" outlineLevel="0" collapsed="false">
      <c r="C154" s="25"/>
      <c r="D154" s="26"/>
      <c r="E154" s="26"/>
      <c r="F154" s="12"/>
      <c r="G154" s="26"/>
    </row>
    <row r="155" customFormat="false" ht="15" hidden="false" customHeight="false" outlineLevel="0" collapsed="false">
      <c r="C155" s="25"/>
      <c r="D155" s="26"/>
      <c r="E155" s="26"/>
      <c r="F155" s="12"/>
      <c r="G155" s="26"/>
    </row>
    <row r="156" customFormat="false" ht="15" hidden="false" customHeight="false" outlineLevel="0" collapsed="false">
      <c r="C156" s="20" t="s">
        <v>23</v>
      </c>
      <c r="D156" s="27"/>
      <c r="E156" s="27"/>
      <c r="F156" s="22" t="n">
        <f aca="false">SUM(F6:F155)</f>
        <v>0</v>
      </c>
      <c r="G156" s="27"/>
    </row>
  </sheetData>
  <autoFilter ref="C5:G155"/>
  <mergeCells count="2">
    <mergeCell ref="C1:G1"/>
    <mergeCell ref="C2:G2"/>
  </mergeCells>
  <dataValidations count="2">
    <dataValidation allowBlank="true" error="Escolha uma categoria da lista." errorStyle="stop" operator="between" showDropDown="false" showErrorMessage="false" showInputMessage="false" sqref="D6:D155" type="list">
      <formula1>Listas!$A$1:$A$12</formula1>
      <formula2>0</formula2>
    </dataValidation>
    <dataValidation allowBlank="true" errorStyle="stop" operator="between" showDropDown="false" showErrorMessage="false" showInputMessage="false" sqref="G6:G155" type="list">
      <formula1>"Pago,Pendente"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24</v>
      </c>
    </row>
    <row r="2" customFormat="false" ht="15" hidden="false" customHeight="false" outlineLevel="0" collapsed="false">
      <c r="A2" s="0" t="s">
        <v>25</v>
      </c>
    </row>
    <row r="3" customFormat="false" ht="15" hidden="false" customHeight="false" outlineLevel="0" collapsed="false">
      <c r="A3" s="0" t="s">
        <v>26</v>
      </c>
    </row>
    <row r="4" customFormat="false" ht="15" hidden="false" customHeight="false" outlineLevel="0" collapsed="false">
      <c r="A4" s="0" t="s">
        <v>27</v>
      </c>
    </row>
    <row r="5" customFormat="false" ht="15" hidden="false" customHeight="false" outlineLevel="0" collapsed="false">
      <c r="A5" s="0" t="s">
        <v>28</v>
      </c>
    </row>
    <row r="6" customFormat="false" ht="15" hidden="false" customHeight="false" outlineLevel="0" collapsed="false">
      <c r="A6" s="0" t="s">
        <v>29</v>
      </c>
    </row>
    <row r="7" customFormat="false" ht="15" hidden="false" customHeight="false" outlineLevel="0" collapsed="false">
      <c r="A7" s="0" t="s">
        <v>30</v>
      </c>
    </row>
    <row r="8" customFormat="false" ht="15" hidden="false" customHeight="false" outlineLevel="0" collapsed="false">
      <c r="A8" s="0" t="s">
        <v>31</v>
      </c>
    </row>
    <row r="9" customFormat="false" ht="15" hidden="false" customHeight="false" outlineLevel="0" collapsed="false">
      <c r="A9" s="0" t="s">
        <v>32</v>
      </c>
    </row>
    <row r="10" customFormat="false" ht="15" hidden="false" customHeight="false" outlineLevel="0" collapsed="false">
      <c r="A10" s="0" t="s">
        <v>33</v>
      </c>
    </row>
    <row r="11" customFormat="false" ht="15" hidden="false" customHeight="false" outlineLevel="0" collapsed="false">
      <c r="A11" s="0" t="s">
        <v>34</v>
      </c>
    </row>
    <row r="12" customFormat="false" ht="15" hidden="false" customHeight="false" outlineLevel="0" collapsed="false">
      <c r="A12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5" min="5" style="0" width="12"/>
  </cols>
  <sheetData>
    <row r="1" customFormat="false" ht="24" hidden="false" customHeight="true" outlineLevel="0" collapsed="false">
      <c r="C1" s="1" t="s">
        <v>36</v>
      </c>
      <c r="D1" s="1"/>
      <c r="E1" s="1"/>
      <c r="F1" s="1"/>
    </row>
    <row r="2" customFormat="false" ht="15" hidden="false" customHeight="false" outlineLevel="0" collapsed="false">
      <c r="C2" s="2" t="s">
        <v>37</v>
      </c>
      <c r="D2" s="2"/>
      <c r="E2" s="2"/>
      <c r="F2" s="2"/>
    </row>
    <row r="3" customFormat="false" ht="21.75" hidden="false" customHeight="true" outlineLevel="0" collapsed="false"/>
    <row r="4" customFormat="false" ht="15" hidden="false" customHeight="false" outlineLevel="0" collapsed="false">
      <c r="C4" s="28" t="s">
        <v>38</v>
      </c>
    </row>
    <row r="5" customFormat="false" ht="15" hidden="false" customHeight="false" outlineLevel="0" collapsed="false">
      <c r="C5" s="29" t="s">
        <v>2</v>
      </c>
      <c r="D5" s="30" t="n">
        <f aca="false">'Dia a Dia'!$D$4</f>
        <v>78000</v>
      </c>
    </row>
    <row r="6" customFormat="false" ht="15" hidden="false" customHeight="false" outlineLevel="0" collapsed="false">
      <c r="C6" s="29" t="s">
        <v>39</v>
      </c>
      <c r="D6" s="31" t="n">
        <f aca="false">'Dia a Dia'!K37</f>
        <v>0</v>
      </c>
    </row>
    <row r="7" customFormat="false" ht="15" hidden="false" customHeight="false" outlineLevel="0" collapsed="false">
      <c r="C7" s="29" t="s">
        <v>40</v>
      </c>
      <c r="D7" s="32" t="n">
        <f aca="false">IFERROR(D6/D5,0)</f>
        <v>0</v>
      </c>
    </row>
    <row r="9" customFormat="false" ht="15" hidden="false" customHeight="false" outlineLevel="0" collapsed="false">
      <c r="C9" s="28" t="s">
        <v>41</v>
      </c>
    </row>
    <row r="10" customFormat="false" ht="15" hidden="false" customHeight="false" outlineLevel="0" collapsed="false">
      <c r="C10" s="29" t="s">
        <v>7</v>
      </c>
      <c r="D10" s="33" t="n">
        <f aca="false">'Dia a Dia'!E37</f>
        <v>0</v>
      </c>
      <c r="E10" s="14" t="n">
        <f aca="false">IFERROR(D10/$D$6,0)</f>
        <v>0</v>
      </c>
    </row>
    <row r="11" customFormat="false" ht="15" hidden="false" customHeight="false" outlineLevel="0" collapsed="false">
      <c r="C11" s="29" t="s">
        <v>8</v>
      </c>
      <c r="D11" s="33" t="n">
        <f aca="false">'Dia a Dia'!F37</f>
        <v>0</v>
      </c>
      <c r="E11" s="14" t="n">
        <f aca="false">IFERROR(D11/$D$6,0)</f>
        <v>0</v>
      </c>
    </row>
    <row r="12" customFormat="false" ht="15" hidden="false" customHeight="false" outlineLevel="0" collapsed="false">
      <c r="C12" s="29" t="s">
        <v>9</v>
      </c>
      <c r="D12" s="33" t="n">
        <f aca="false">'Dia a Dia'!G37</f>
        <v>0</v>
      </c>
      <c r="E12" s="14" t="n">
        <f aca="false">IFERROR(D12/$D$6,0)</f>
        <v>0</v>
      </c>
    </row>
    <row r="13" customFormat="false" ht="15" hidden="false" customHeight="false" outlineLevel="0" collapsed="false">
      <c r="C13" s="29" t="s">
        <v>10</v>
      </c>
      <c r="D13" s="33" t="n">
        <f aca="false">'Dia a Dia'!H37</f>
        <v>0</v>
      </c>
      <c r="E13" s="14" t="n">
        <f aca="false">IFERROR(D13/$D$6,0)</f>
        <v>0</v>
      </c>
    </row>
    <row r="14" customFormat="false" ht="15" hidden="false" customHeight="false" outlineLevel="0" collapsed="false">
      <c r="C14" s="29" t="s">
        <v>11</v>
      </c>
      <c r="D14" s="33" t="n">
        <f aca="false">'Dia a Dia'!I37</f>
        <v>0</v>
      </c>
      <c r="E14" s="14" t="n">
        <f aca="false">IFERROR(D14/$D$6,0)</f>
        <v>0</v>
      </c>
    </row>
    <row r="15" customFormat="false" ht="15" hidden="false" customHeight="false" outlineLevel="0" collapsed="false">
      <c r="C15" s="29" t="s">
        <v>12</v>
      </c>
      <c r="D15" s="33" t="n">
        <f aca="false">'Dia a Dia'!J37</f>
        <v>0</v>
      </c>
      <c r="E15" s="14" t="n">
        <f aca="false">IFERROR(D15/$D$6,0)</f>
        <v>0</v>
      </c>
    </row>
    <row r="17" customFormat="false" ht="15" hidden="false" customHeight="false" outlineLevel="0" collapsed="false">
      <c r="C17" s="28" t="s">
        <v>42</v>
      </c>
    </row>
    <row r="18" customFormat="false" ht="15" hidden="false" customHeight="false" outlineLevel="0" collapsed="false">
      <c r="C18" s="34" t="s">
        <v>43</v>
      </c>
      <c r="D18" s="35" t="n">
        <f aca="false">Despesas!F156</f>
        <v>0</v>
      </c>
    </row>
    <row r="19" customFormat="false" ht="15" hidden="false" customHeight="false" outlineLevel="0" collapsed="false">
      <c r="C19" s="29" t="s">
        <v>24</v>
      </c>
      <c r="D19" s="33" t="n">
        <f aca="false">SUMIFS(Despesas!$F:$F,Despesas!$D:$D,$C19)</f>
        <v>0</v>
      </c>
      <c r="E19" s="14" t="n">
        <f aca="false">IFERROR(D19/$D$18,0)</f>
        <v>0</v>
      </c>
    </row>
    <row r="20" customFormat="false" ht="15" hidden="false" customHeight="false" outlineLevel="0" collapsed="false">
      <c r="C20" s="29" t="s">
        <v>25</v>
      </c>
      <c r="D20" s="33" t="n">
        <f aca="false">SUMIFS(Despesas!$F:$F,Despesas!$D:$D,$C20)</f>
        <v>0</v>
      </c>
      <c r="E20" s="14" t="n">
        <f aca="false">IFERROR(D20/$D$18,0)</f>
        <v>0</v>
      </c>
    </row>
    <row r="21" customFormat="false" ht="15" hidden="false" customHeight="false" outlineLevel="0" collapsed="false">
      <c r="C21" s="29" t="s">
        <v>26</v>
      </c>
      <c r="D21" s="33" t="n">
        <f aca="false">SUMIFS(Despesas!$F:$F,Despesas!$D:$D,$C21)</f>
        <v>0</v>
      </c>
      <c r="E21" s="14" t="n">
        <f aca="false">IFERROR(D21/$D$18,0)</f>
        <v>0</v>
      </c>
    </row>
    <row r="22" customFormat="false" ht="15" hidden="false" customHeight="false" outlineLevel="0" collapsed="false">
      <c r="C22" s="29" t="s">
        <v>27</v>
      </c>
      <c r="D22" s="33" t="n">
        <f aca="false">SUMIFS(Despesas!$F:$F,Despesas!$D:$D,$C22)</f>
        <v>0</v>
      </c>
      <c r="E22" s="14" t="n">
        <f aca="false">IFERROR(D22/$D$18,0)</f>
        <v>0</v>
      </c>
    </row>
    <row r="23" customFormat="false" ht="15" hidden="false" customHeight="false" outlineLevel="0" collapsed="false">
      <c r="C23" s="29" t="s">
        <v>28</v>
      </c>
      <c r="D23" s="33" t="n">
        <f aca="false">SUMIFS(Despesas!$F:$F,Despesas!$D:$D,$C23)</f>
        <v>0</v>
      </c>
      <c r="E23" s="14" t="n">
        <f aca="false">IFERROR(D23/$D$18,0)</f>
        <v>0</v>
      </c>
    </row>
    <row r="24" customFormat="false" ht="15" hidden="false" customHeight="false" outlineLevel="0" collapsed="false">
      <c r="C24" s="29" t="s">
        <v>29</v>
      </c>
      <c r="D24" s="33" t="n">
        <f aca="false">SUMIFS(Despesas!$F:$F,Despesas!$D:$D,$C24)</f>
        <v>0</v>
      </c>
      <c r="E24" s="14" t="n">
        <f aca="false">IFERROR(D24/$D$18,0)</f>
        <v>0</v>
      </c>
    </row>
    <row r="25" customFormat="false" ht="15" hidden="false" customHeight="false" outlineLevel="0" collapsed="false">
      <c r="C25" s="29" t="s">
        <v>30</v>
      </c>
      <c r="D25" s="33" t="n">
        <f aca="false">SUMIFS(Despesas!$F:$F,Despesas!$D:$D,$C25)</f>
        <v>0</v>
      </c>
      <c r="E25" s="14" t="n">
        <f aca="false">IFERROR(D25/$D$18,0)</f>
        <v>0</v>
      </c>
    </row>
    <row r="26" customFormat="false" ht="15" hidden="false" customHeight="false" outlineLevel="0" collapsed="false">
      <c r="C26" s="29" t="s">
        <v>31</v>
      </c>
      <c r="D26" s="33" t="n">
        <f aca="false">SUMIFS(Despesas!$F:$F,Despesas!$D:$D,$C26)</f>
        <v>0</v>
      </c>
      <c r="E26" s="14" t="n">
        <f aca="false">IFERROR(D26/$D$18,0)</f>
        <v>0</v>
      </c>
    </row>
    <row r="27" customFormat="false" ht="15" hidden="false" customHeight="false" outlineLevel="0" collapsed="false">
      <c r="C27" s="29" t="s">
        <v>32</v>
      </c>
      <c r="D27" s="33" t="n">
        <f aca="false">SUMIFS(Despesas!$F:$F,Despesas!$D:$D,$C27)</f>
        <v>0</v>
      </c>
      <c r="E27" s="14" t="n">
        <f aca="false">IFERROR(D27/$D$18,0)</f>
        <v>0</v>
      </c>
    </row>
    <row r="28" customFormat="false" ht="15" hidden="false" customHeight="false" outlineLevel="0" collapsed="false">
      <c r="C28" s="29" t="s">
        <v>33</v>
      </c>
      <c r="D28" s="33" t="n">
        <f aca="false">SUMIFS(Despesas!$F:$F,Despesas!$D:$D,$C28)</f>
        <v>0</v>
      </c>
      <c r="E28" s="14" t="n">
        <f aca="false">IFERROR(D28/$D$18,0)</f>
        <v>0</v>
      </c>
    </row>
    <row r="29" customFormat="false" ht="15" hidden="false" customHeight="false" outlineLevel="0" collapsed="false">
      <c r="C29" s="29" t="s">
        <v>34</v>
      </c>
      <c r="D29" s="33" t="n">
        <f aca="false">SUMIFS(Despesas!$F:$F,Despesas!$D:$D,$C29)</f>
        <v>0</v>
      </c>
      <c r="E29" s="14" t="n">
        <f aca="false">IFERROR(D29/$D$18,0)</f>
        <v>0</v>
      </c>
    </row>
    <row r="30" customFormat="false" ht="15" hidden="false" customHeight="false" outlineLevel="0" collapsed="false">
      <c r="C30" s="29" t="s">
        <v>35</v>
      </c>
      <c r="D30" s="33" t="n">
        <f aca="false">SUMIFS(Despesas!$F:$F,Despesas!$D:$D,$C30)</f>
        <v>0</v>
      </c>
      <c r="E30" s="14" t="n">
        <f aca="false">IFERROR(D30/$D$18,0)</f>
        <v>0</v>
      </c>
    </row>
    <row r="32" customFormat="false" ht="15" hidden="false" customHeight="false" outlineLevel="0" collapsed="false">
      <c r="C32" s="36" t="s">
        <v>44</v>
      </c>
      <c r="D32" s="37" t="n">
        <f aca="false">D6-D18</f>
        <v>0</v>
      </c>
    </row>
    <row r="33" customFormat="false" ht="15" hidden="false" customHeight="false" outlineLevel="0" collapsed="false">
      <c r="C33" s="3" t="s">
        <v>45</v>
      </c>
      <c r="D33" s="38" t="n">
        <f aca="false">IFERROR(D32/D6,0)</f>
        <v>0</v>
      </c>
    </row>
  </sheetData>
  <mergeCells count="2">
    <mergeCell ref="C1:F1"/>
    <mergeCell ref="C2:F2"/>
  </mergeCells>
  <conditionalFormatting sqref="D32">
    <cfRule type="cellIs" priority="2" operator="lessThan" aboveAverage="0" equalAverage="0" bottom="0" percent="0" rank="0" text="" dxfId="10">
      <formula>0</formula>
    </cfRule>
    <cfRule type="cellIs" priority="3" operator="greaterThanOrEqual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2026-09-02T12:30:55Z</dcterms:created>
  <dc:creator>openpyxl</dc:creator>
  <dc:description/>
  <dc:language>en-US</dc:language>
  <cp:lastModifiedBy/>
  <dcterms:modified xsi:type="dcterms:W3CDTF">2026-09-02T12:30:55Z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